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d1d9c9c41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c2b079dde368455c"/>
    <x:sheet xmlns:r="http://schemas.openxmlformats.org/officeDocument/2006/relationships" name="Income" sheetId="2" r:id="R727433bdc9b9407e"/>
    <x:sheet xmlns:r="http://schemas.openxmlformats.org/officeDocument/2006/relationships" name="Trust Income" sheetId="3" r:id="R277749816e2a4da6"/>
    <x:sheet xmlns:r="http://schemas.openxmlformats.org/officeDocument/2006/relationships" name="Mapping" sheetId="4" r:id="R385e1db431e74cd9"/>
    <x:sheet xmlns:r="http://schemas.openxmlformats.org/officeDocument/2006/relationships" name="Queries" sheetId="5" r:id="R95e19617d1fb4e05"/>
    <x:sheet xmlns:r="http://schemas.openxmlformats.org/officeDocument/2006/relationships" name="Evidence" sheetId="6" r:id="R51c3c4128b3a4f57"/>
    <x:sheet xmlns:r="http://schemas.openxmlformats.org/officeDocument/2006/relationships" name="Data" sheetId="7" r:id="R026d93c1c6dd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&quot;—&quot;"/>
    <x:numFmt numFmtId="201" formatCode="0"/>
  </x:numFmts>
  <x:fonts count="10">
    <x:font>
      <x:sz val="11"/>
      <x:name val="Carlito"/>
    </x:font>
    <x:font>
      <x:sz val="11"/>
      <x:color rgb="FF162537"/>
      <x:name val="Helvetica Neue"/>
    </x:font>
    <x:font>
      <x:b/>
      <x:sz val="18"/>
      <x:color rgb="FF162537"/>
      <x:name val="Helvetica Neue"/>
    </x:font>
    <x:font>
      <x:i/>
      <x:sz val="10"/>
      <x:color rgb="FF576779"/>
      <x:name val="Helvetica Neue"/>
    </x:font>
    <x:font>
      <x:b/>
      <x:sz val="11"/>
      <x:color rgb="FFFFFFFF"/>
      <x:name val="Helvetica Neue"/>
    </x:font>
    <x:font>
      <x:b/>
      <x:sz val="11"/>
      <x:color rgb="FF162537"/>
      <x:name val="Helvetica Neue"/>
    </x:font>
    <x:font>
      <x:sz val="11"/>
      <x:color rgb="FF008000"/>
      <x:name val="Helvetica Neue"/>
    </x:font>
    <x:font>
      <x:sz val="11"/>
      <x:color rgb="FF000000"/>
      <x:name val="Helvetica Neue"/>
    </x:font>
    <x:font>
      <x:b/>
      <x:sz val="11"/>
      <x:color rgb="FF000000"/>
      <x:name val="Helvetica Neue"/>
    </x:font>
    <x:font>
      <x:sz val="10"/>
      <x:color rgb="FF162537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5"/>
      </x:patternFill>
    </x:fill>
    <x:fill>
      <x:patternFill patternType="solid">
        <x:fgColor rgb="FFF0F4F7"/>
      </x:patternFill>
    </x:fill>
  </x:fills>
  <x:borders count="3">
    <x:border/>
    <x:border>
      <x:bottom style="thin">
        <x:color rgb="FFB5C1CC"/>
      </x:bottom>
    </x:border>
    <x:border>
      <x:top style="thin">
        <x:color rgb="FFB5C1CC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right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19e800c3c4871" /><Relationship Type="http://schemas.openxmlformats.org/officeDocument/2006/relationships/theme" Target="/xl/theme/theme1.xml" Id="R08c6e625c2644c8d" /><Relationship Type="http://schemas.openxmlformats.org/officeDocument/2006/relationships/sharedStrings" Target="/xl/sharedStrings.xml" Id="R552219a287b742e0" /><Relationship Type="http://schemas.openxmlformats.org/officeDocument/2006/relationships/worksheet" Target="/xl/worksheets/sheet1.xml" Id="Rc2b079dde368455c" /><Relationship Type="http://schemas.openxmlformats.org/officeDocument/2006/relationships/worksheet" Target="/xl/worksheets/sheet2.xml" Id="R727433bdc9b9407e" /><Relationship Type="http://schemas.openxmlformats.org/officeDocument/2006/relationships/worksheet" Target="/xl/worksheets/sheet3.xml" Id="R277749816e2a4da6" /><Relationship Type="http://schemas.openxmlformats.org/officeDocument/2006/relationships/worksheet" Target="/xl/worksheets/sheet4.xml" Id="R385e1db431e74cd9" /><Relationship Type="http://schemas.openxmlformats.org/officeDocument/2006/relationships/worksheet" Target="/xl/worksheets/sheet5.xml" Id="R95e19617d1fb4e05" /><Relationship Type="http://schemas.openxmlformats.org/officeDocument/2006/relationships/worksheet" Target="/xl/worksheets/sheet6.xml" Id="R51c3c4128b3a4f57" /><Relationship Type="http://schemas.openxmlformats.org/officeDocument/2006/relationships/worksheet" Target="/xl/worksheets/sheet7.xml" Id="R026d93c1c6dd4bad" /></Relationships>
</file>

<file path=xl/tables/table1.xml><?xml version="1.0" encoding="utf-8"?>
<x:table xmlns:x="http://schemas.openxmlformats.org/spreadsheetml/2006/main" id="1" name="Peregrine_Metadata" displayName="Peregrine_Metadata" ref="A6:B1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eregrine_Evidence" displayName="Peregrine_Evidence" ref="A6:I9" headerRowCount="1" totalsRowCount="0" totalsRowShown="0">
  <x:tableColumns count="9">
    <x:tableColumn id="1" name="document_id"/>
    <x:tableColumn id="2" name="line_id"/>
    <x:tableColumn id="3" name="entity_id"/>
    <x:tableColumn id="4" name="financial_year"/>
    <x:tableColumn id="5" name="component"/>
    <x:tableColumn id="6" name="currency"/>
    <x:tableColumn id="7" name="basis"/>
    <x:tableColumn id="8" name="amount"/>
    <x:tableColumn id="9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regrine_Lines" displayName="Peregrine_Lines" ref="A6:L9" headerRowCount="1" totalsRowCount="0" totalsRowShown="0">
  <x:tableColumns count="12">
    <x:tableColumn id="1" name="line_id"/>
    <x:tableColumn id="2" name="entity_id"/>
    <x:tableColumn id="3" name="financial_year"/>
    <x:tableColumn id="4" name="category"/>
    <x:tableColumn id="5" name="label"/>
    <x:tableColumn id="6" name="component"/>
    <x:tableColumn id="7" name="amount"/>
    <x:tableColumn id="8" name="currency"/>
    <x:tableColumn id="9" name="basis"/>
    <x:tableColumn id="10" name="source_ref"/>
    <x:tableColumn id="11" name="recurrence"/>
    <x:tableColumn id="12" name="request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dc74faa42b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bb3eeb5fa91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b565cf1546947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" hidden="0" customWidth="1"/>
    <x:col min="4" max="4" width="32" hidden="0" customWidth="1"/>
    <x:col min="5" max="5" width="48" hidden="0" customWidth="1"/>
    <x:col min="6" max="6" width="1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4" customHeight="1">
      <x:c r="A2" s="4" t="str">
        <x:v>Sam Taylor — FY25</x:v>
      </x:c>
      <x:c r="B2" s="4"/>
      <x:c r="C2" s="4"/>
      <x:c r="D2" s="4"/>
      <x:c r="E2" s="4"/>
      <x:c r="F2" s="4"/>
    </x:row>
    <x:row r="3" ht="25" customHeight="1">
      <x:c r="A3" s="5" t="str">
        <x:v>Peregrine synthetic baseline · 1 July 2024 to 30 June 2025 · AUD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0" customHeight="1">
      <x:c r="A6" s="7" t="str">
        <x:v>key</x:v>
      </x:c>
      <x:c r="B6" s="7" t="str">
        <x:v>value</x:v>
      </x:c>
      <x:c r="C6" s="2"/>
      <x:c r="D6" s="7" t="str">
        <x:v>Workbook contents</x:v>
      </x:c>
      <x:c r="E6" s="7" t="str">
        <x:v>Purpose</x:v>
      </x:c>
      <x:c r="F6" s="2"/>
    </x:row>
    <x:row r="7" ht="35" customHeight="1">
      <x:c r="A7" s="2" t="str">
        <x:v>schema_version</x:v>
      </x:c>
      <x:c r="B7" s="8" t="str">
        <x:v>1</x:v>
      </x:c>
      <x:c r="C7" s="2"/>
      <x:c r="D7" s="8" t="str">
        <x:v>Metadata</x:v>
      </x:c>
      <x:c r="E7" s="8" t="str">
        <x:v>Entity, period, schema and scope</x:v>
      </x:c>
      <x:c r="F7" s="2"/>
    </x:row>
    <x:row r="8" ht="35" customHeight="1">
      <x:c r="A8" s="2" t="str">
        <x:v>workbook_id</x:v>
      </x:c>
      <x:c r="B8" s="8" t="str">
        <x:v>FY25-sam-taylor</x:v>
      </x:c>
      <x:c r="C8" s="2"/>
      <x:c r="D8" s="8" t="str">
        <x:v>Income</x:v>
      </x:c>
      <x:c r="E8" s="8" t="str">
        <x:v>Employment and interest reconciliation</x:v>
      </x:c>
      <x:c r="F8" s="2"/>
    </x:row>
    <x:row r="9" ht="35" customHeight="1">
      <x:c r="A9" s="2" t="str">
        <x:v>entity_id</x:v>
      </x:c>
      <x:c r="B9" s="8" t="str">
        <x:v>sam-taylor</x:v>
      </x:c>
      <x:c r="C9" s="2"/>
      <x:c r="D9" s="8" t="str">
        <x:v>Trust Income</x:v>
      </x:c>
      <x:c r="E9" s="8" t="str">
        <x:v>Ordinary-income allocation and evidence</x:v>
      </x:c>
      <x:c r="F9" s="2"/>
    </x:row>
    <x:row r="10" ht="35" customHeight="1">
      <x:c r="A10" s="2" t="str">
        <x:v>entity_name</x:v>
      </x:c>
      <x:c r="B10" s="8" t="str">
        <x:v>Sam Taylor</x:v>
      </x:c>
      <x:c r="C10" s="2"/>
      <x:c r="D10" s="8" t="str">
        <x:v>Mapping</x:v>
      </x:c>
      <x:c r="E10" s="8" t="str">
        <x:v>Selected FY25 return references</x:v>
      </x:c>
      <x:c r="F10" s="2"/>
    </x:row>
    <x:row r="11" ht="35" customHeight="1">
      <x:c r="A11" s="2" t="str">
        <x:v>entity_type</x:v>
      </x:c>
      <x:c r="B11" s="8" t="str">
        <x:v>individual</x:v>
      </x:c>
      <x:c r="C11" s="2"/>
      <x:c r="D11" s="8" t="str">
        <x:v>Queries</x:v>
      </x:c>
      <x:c r="E11" s="8" t="str">
        <x:v>Current-year evidence prompts</x:v>
      </x:c>
      <x:c r="F11" s="2"/>
    </x:row>
    <x:row r="12" ht="35" customHeight="1">
      <x:c r="A12" s="2" t="str">
        <x:v>financial_year</x:v>
      </x:c>
      <x:c r="B12" s="8" t="n">
        <x:v>2025</x:v>
      </x:c>
      <x:c r="C12" s="2"/>
      <x:c r="D12" s="8" t="str">
        <x:v>Evidence</x:v>
      </x:c>
      <x:c r="E12" s="8" t="str">
        <x:v>Independent synthetic evidence records</x:v>
      </x:c>
      <x:c r="F12" s="2"/>
    </x:row>
    <x:row r="13" ht="35" customHeight="1">
      <x:c r="A13" s="2" t="str">
        <x:v>synthetic</x:v>
      </x:c>
      <x:c r="B13" s="8" t="str">
        <x:v>true</x:v>
      </x:c>
      <x:c r="C13" s="2"/>
      <x:c r="D13" s="8" t="str">
        <x:v>Data</x:v>
      </x:c>
      <x:c r="E13" s="8" t="str">
        <x:v>Named import table with stable line IDs</x:v>
      </x:c>
      <x:c r="F13" s="2"/>
    </x:row>
    <x:row r="14" ht="25" customHeight="1">
      <x:c r="A14" s="2" t="str">
        <x:v>template_version</x:v>
      </x:c>
      <x:c r="B14" s="8" t="str">
        <x:v>1</x:v>
      </x:c>
      <x:c r="C14" s="2"/>
      <x:c r="D14" s="2"/>
      <x:c r="E14" s="2"/>
      <x:c r="F14" s="2"/>
    </x:row>
    <x:row r="15" ht="25" customHeight="1">
      <x:c r="A15" s="2" t="str">
        <x:v>baseline_version</x:v>
      </x:c>
      <x:c r="B15" s="8" t="n">
        <x:v>1</x:v>
      </x:c>
      <x:c r="C15" s="2"/>
      <x:c r="D15" s="2"/>
      <x:c r="E15" s="2"/>
      <x:c r="F15" s="2"/>
    </x:row>
    <x:row r="16" ht="25" customHeight="1">
      <x:c r="A16" s="2" t="str">
        <x:v>status</x:v>
      </x:c>
      <x:c r="B16" s="8" t="str">
        <x:v>synthetic_reviewed</x:v>
      </x:c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10" t="str">
        <x:v>Scope and use</x:v>
      </x:c>
      <x:c r="B19" s="10"/>
      <x:c r="C19" s="10"/>
      <x:c r="D19" s="10"/>
      <x:c r="E19" s="10"/>
      <x:c r="F19" s="10"/>
    </x:row>
    <x:row r="20" ht="25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All people, organisations, amounts and documents in this workbook are fictional.</x:v>
      </x:c>
      <x:c r="B21" s="2"/>
      <x:c r="C21" s="2"/>
      <x:c r="D21" s="2"/>
      <x:c r="E21" s="2"/>
      <x:c r="F21" s="2"/>
    </x:row>
    <x:row r="22" ht="27" customHeight="1">
      <x:c r="A22" s="2" t="str">
        <x:v>Selected income components only. Deductions, withholding, offsets and tax liability are outside this fixture.</x:v>
      </x:c>
      <x:c r="B22" s="2"/>
      <x:c r="C22" s="2"/>
      <x:c r="D22" s="2"/>
      <x:c r="E22" s="2"/>
      <x:c r="F22" s="2"/>
    </x:row>
    <x:row r="23" ht="27" customHeight="1">
      <x:c r="A23" s="2" t="str">
        <x:v>This is a limited workpaper prototype. It is not a completed tax return or an ATO lodgment record.</x:v>
      </x:c>
      <x:c r="B23" s="2"/>
      <x:c r="C23" s="2"/>
      <x:c r="D23" s="2"/>
      <x:c r="E23" s="2"/>
      <x:c r="F23" s="2"/>
    </x:row>
    <x:row r="24" ht="27" customHeight="1">
      <x:c r="A24" s="2" t="str">
        <x:v>The synthetic_reviewed value seeds the demo. Import approval requires an authenticated event in the app.</x:v>
      </x:c>
      <x:c r="B24" s="2"/>
      <x:c r="C24" s="2"/>
      <x:c r="D24" s="2"/>
      <x:c r="E24" s="2"/>
      <x:c r="F24" s="2"/>
    </x:row>
    <x:row r="25" ht="27" customHeight="1">
      <x:c r="A25" s="2" t="str">
        <x:v>Use FY25 only as a comparative and enquiry source. Obtain separate evidence for the current financial year.</x:v>
      </x:c>
      <x:c r="B25" s="2"/>
      <x:c r="C25" s="2"/>
      <x:c r="D25" s="2"/>
      <x:c r="E25" s="2"/>
      <x:c r="F25" s="2"/>
    </x:row>
    <x:row r="26" ht="27" customHeight="1">
      <x:c r="A26" s="2" t="str">
        <x:v>Green figures link to another sheet. Black figures calculate within the sheet. Missing document amounts stay blank.</x:v>
      </x:c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  <x:tableParts count="1">
    <x:tablePart xmlns:r="http://schemas.openxmlformats.org/officeDocument/2006/relationships" r:id="Rc3dc74faa42b40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24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2"/>
      <x:c r="C2" s="4" t="str">
        <x:v>Income</x:v>
      </x:c>
      <x:c r="D2" s="4"/>
      <x:c r="E2" s="4"/>
      <x:c r="F2" s="4"/>
      <x:c r="G2" s="4"/>
      <x:c r="H2" s="4"/>
    </x:row>
    <x:row r="3" ht="24" customHeight="1">
      <x:c r="A3" s="2"/>
      <x:c r="B3" s="2"/>
      <x:c r="C3" s="5" t="str">
        <x:v>Sam Taylor · FY25 · 1 July 2024 to 30 June 2025 · AUD · Synthetic</x:v>
      </x:c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2"/>
      <x:c r="B6" s="2"/>
      <x:c r="C6" s="12" t="str">
        <x:v>Line / source</x:v>
      </x:c>
      <x:c r="D6" s="12" t="str">
        <x:v>Component</x:v>
      </x:c>
      <x:c r="E6" s="12" t="str">
        <x:v>Baseline AUD</x:v>
      </x:c>
      <x:c r="F6" s="12" t="str">
        <x:v>Evidence AUD</x:v>
      </x:c>
      <x:c r="G6" s="12" t="str">
        <x:v>Difference AUD</x:v>
      </x:c>
      <x:c r="H6" s="12" t="str">
        <x:v>Evidence ID</x:v>
      </x:c>
    </x:row>
    <x:row r="7" ht="40" customHeight="1">
      <x:c r="A7" s="2"/>
      <x:c r="B7" s="2"/>
      <x:c r="C7" s="8" t="str">
        <x:v>Salary or wages</x:v>
      </x:c>
      <x:c r="D7" s="8" t="str">
        <x:v>gross</x:v>
      </x:c>
      <x:c r="E7" s="22" t="n">
        <x:f>INDEX('Data'!$G$7:$G$9,MATCH("SAM-EMP",'Data'!$A$7:$A$9,0))</x:f>
        <x:v>76000</x:v>
      </x:c>
      <x:c r="F7" s="22" t="n">
        <x:f>SUMIF('Evidence'!$B$7:$B$9,"SAM-EMP",'Evidence'!$H$7:$H$9)</x:f>
        <x:v>76000</x:v>
      </x:c>
      <x:c r="G7" s="23" t="n">
        <x:f>E7-F7</x:f>
        <x:v>0</x:v>
      </x:c>
      <x:c r="H7" s="8" t="str">
        <x:v>FY25-SAM-EMP</x:v>
      </x:c>
    </x:row>
    <x:row r="8" ht="40" customHeight="1">
      <x:c r="A8" s="2"/>
      <x:c r="B8" s="2"/>
      <x:c r="C8" s="8" t="str">
        <x:v>Bank interest</x:v>
      </x:c>
      <x:c r="D8" s="8" t="str">
        <x:v>gross</x:v>
      </x:c>
      <x:c r="E8" s="22" t="n">
        <x:f>INDEX('Data'!$G$7:$G$9,MATCH("SAM-INT",'Data'!$A$7:$A$9,0))</x:f>
        <x:v>420</x:v>
      </x:c>
      <x:c r="F8" s="22" t="n">
        <x:f>SUMIF('Evidence'!$B$7:$B$9,"SAM-INT",'Evidence'!$H$7:$H$9)</x:f>
        <x:v>420</x:v>
      </x:c>
      <x:c r="G8" s="23" t="n">
        <x:f>E8-F8</x:f>
        <x:v>0</x:v>
      </x:c>
      <x:c r="H8" s="8" t="str">
        <x:v>FY25-SAM-INT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6" t="str">
        <x:v>Employment and interest subtotal</x:v>
      </x:c>
      <x:c r="D10" s="26"/>
      <x:c r="E10" s="29" t="n">
        <x:f>SUM(E7:E8)</x:f>
        <x:v>76420</x:v>
      </x:c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6" customHeight="1">
      <x:c r="A13" s="2"/>
      <x:c r="B13" s="2"/>
      <x:c r="C13" s="10" t="str">
        <x:v>Source detail</x:v>
      </x:c>
      <x:c r="D13" s="10"/>
      <x:c r="E13" s="10"/>
      <x:c r="F13" s="10"/>
      <x:c r="G13" s="10"/>
      <x:c r="H13" s="10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 t="str">
        <x:v>Employment source</x:v>
      </x:c>
      <x:c r="D15" s="30" t="str">
        <x:v>Southern Learning Pty Ltd</x:v>
      </x:c>
      <x:c r="E15" s="2"/>
      <x:c r="F15" s="2"/>
      <x:c r="G15" s="2"/>
      <x:c r="H15" s="2"/>
    </x:row>
    <x:row r="16" ht="24" customHeight="1">
      <x:c r="A16" s="2"/>
      <x:c r="B16" s="2"/>
      <x:c r="C16" s="2" t="str">
        <x:v>Interest ownership</x:v>
      </x:c>
      <x:c r="D16" s="30" t="str">
        <x:v>Sole ownership assumed in the synthetic fixture</x:v>
      </x:c>
      <x:c r="E16" s="2"/>
      <x:c r="F16" s="2"/>
      <x:c r="G16" s="2"/>
      <x:c r="H16" s="2"/>
    </x:row>
    <x:row r="17" ht="24" customHeight="1">
      <x:c r="A17" s="2"/>
      <x:c r="B17" s="2"/>
      <x:c r="C17" s="2" t="str">
        <x:v>Withholding</x:v>
      </x:c>
      <x:c r="D17" s="30" t="str">
        <x:v>Not supplied; no withholding amount has been inferred</x:v>
      </x:c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30" customHeight="1">
      <x:c r="A20" s="2"/>
      <x:c r="B20" s="2"/>
      <x:c r="C20" s="31" t="str">
        <x:v>The subtotal contains only the two displayed gross components. It is not taxable income.</x:v>
      </x:c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24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2"/>
      <x:c r="C2" s="4" t="str">
        <x:v>Trust Income</x:v>
      </x:c>
      <x:c r="D2" s="4"/>
      <x:c r="E2" s="4"/>
      <x:c r="F2" s="4"/>
      <x:c r="G2" s="4"/>
      <x:c r="H2" s="4"/>
    </x:row>
    <x:row r="3" ht="24" customHeight="1">
      <x:c r="A3" s="2"/>
      <x:c r="B3" s="2"/>
      <x:c r="C3" s="5" t="str">
        <x:v>Sam Taylor · FY25 · 1 July 2024 to 30 June 2025 · AUD · Synthetic</x:v>
      </x:c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2"/>
      <x:c r="B6" s="2"/>
      <x:c r="C6" s="12" t="str">
        <x:v>Line / source</x:v>
      </x:c>
      <x:c r="D6" s="12" t="str">
        <x:v>Component</x:v>
      </x:c>
      <x:c r="E6" s="12" t="str">
        <x:v>Baseline AUD</x:v>
      </x:c>
      <x:c r="F6" s="12" t="str">
        <x:v>Evidence AUD</x:v>
      </x:c>
      <x:c r="G6" s="12" t="str">
        <x:v>Difference AUD</x:v>
      </x:c>
      <x:c r="H6" s="12" t="str">
        <x:v>Evidence ID</x:v>
      </x:c>
    </x:row>
    <x:row r="7" ht="40" customHeight="1">
      <x:c r="A7" s="2"/>
      <x:c r="B7" s="2"/>
      <x:c r="C7" s="8" t="str">
        <x:v>Trust ordinary-income allocation</x:v>
      </x:c>
      <x:c r="D7" s="8" t="str">
        <x:v>ordinary_income</x:v>
      </x:c>
      <x:c r="E7" s="22" t="n">
        <x:f>INDEX('Data'!$G$7:$G$9,MATCH("SAM-TRUST",'Data'!$A$7:$A$9,0))</x:f>
        <x:v>12000</x:v>
      </x:c>
      <x:c r="F7" s="22" t="n">
        <x:f>SUMIF('Evidence'!$B$7:$B$9,"SAM-TRUST",'Evidence'!$H$7:$H$9)</x:f>
        <x:v>12000</x:v>
      </x:c>
      <x:c r="G7" s="23" t="n">
        <x:f>E7-F7</x:f>
        <x:v>0</x:v>
      </x:c>
      <x:c r="H7" s="8" t="str">
        <x:v>FY25-SAM-TRUST</x:v>
      </x:c>
    </x:row>
    <x:row r="8" ht="24" customHeight="1">
      <x:c r="A8" s="2"/>
      <x:c r="B8" s="2"/>
      <x:c r="C8" s="2"/>
      <x:c r="D8" s="2"/>
      <x:c r="E8" s="2"/>
      <x:c r="F8" s="2"/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6" customHeight="1">
      <x:c r="A11" s="2"/>
      <x:c r="B11" s="2"/>
      <x:c r="C11" s="10" t="str">
        <x:v>Allocation context</x:v>
      </x:c>
      <x:c r="D11" s="10"/>
      <x:c r="E11" s="10"/>
      <x:c r="F11" s="10"/>
      <x:c r="G11" s="10"/>
      <x:c r="H11" s="10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 t="str">
        <x:v>Source trust</x:v>
      </x:c>
      <x:c r="D13" s="2" t="str">
        <x:v>Taylor Family Trust</x:v>
      </x:c>
      <x:c r="E13" s="2"/>
      <x:c r="F13" s="2"/>
      <x:c r="G13" s="2"/>
      <x:c r="H13" s="2"/>
    </x:row>
    <x:row r="14" ht="24" customHeight="1">
      <x:c r="A14" s="2"/>
      <x:c r="B14" s="2"/>
      <x:c r="C14" s="2" t="str">
        <x:v>Component</x:v>
      </x:c>
      <x:c r="D14" s="2" t="str">
        <x:v>Ordinary income only</x:v>
      </x:c>
      <x:c r="E14" s="2"/>
      <x:c r="F14" s="2"/>
      <x:c r="G14" s="2"/>
      <x:c r="H14" s="2"/>
    </x:row>
    <x:row r="15" ht="24" customHeight="1">
      <x:c r="A15" s="2"/>
      <x:c r="B15" s="2"/>
      <x:c r="C15" s="2" t="str">
        <x:v>Cross-reference</x:v>
      </x:c>
      <x:c r="D15" s="2" t="str">
        <x:v>TR-DIST-SAM</x:v>
      </x:c>
      <x:c r="E15" s="2"/>
      <x:c r="F15" s="2"/>
      <x:c r="G15" s="2"/>
      <x:c r="H15" s="2"/>
    </x:row>
    <x:row r="16" ht="24" customHeight="1">
      <x:c r="A16" s="2"/>
      <x:c r="B16" s="2"/>
      <x:c r="C16" s="2" t="str">
        <x:v>Tax and legal assessment</x:v>
      </x:c>
      <x:c r="D16" s="2" t="str">
        <x:v>Not performed in this synthetic fixture</x:v>
      </x:c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30" customHeight="1">
      <x:c r="A19" s="2"/>
      <x:c r="B19" s="2"/>
      <x:c r="C19" s="31" t="str">
        <x:v>The matching trust line is reconciled when building the family pack. No external workbook link is used.</x:v>
      </x:c>
      <x:c r="D19" s="2"/>
      <x:c r="E19" s="2"/>
      <x:c r="F19" s="2"/>
      <x:c r="G19" s="2"/>
      <x:c r="H19" s="2"/>
    </x:row>
    <x:row r="20" ht="30" customHeight="1">
      <x:c r="A20" s="2"/>
      <x:c r="B20" s="2"/>
      <x:c r="C20" s="31" t="str">
        <x:v>Other trust components may require different return references. Obtain the full beneficiary statement.</x:v>
      </x:c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6" hidden="0" customWidth="1"/>
    <x:col min="4" max="4" width="25" hidden="0" customWidth="1"/>
    <x:col min="5" max="5" width="26" hidden="0" customWidth="1"/>
    <x:col min="6" max="6" width="70" hidden="0" customWidth="1"/>
    <x:col min="7" max="7" width="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Mapping</x:v>
      </x:c>
      <x:c r="D2" s="4"/>
      <x:c r="E2" s="4"/>
      <x:c r="F2" s="4"/>
      <x:c r="G2" s="4"/>
    </x:row>
    <x:row r="3" ht="24" customHeight="1">
      <x:c r="A3" s="2"/>
      <x:c r="B3" s="2"/>
      <x:c r="C3" s="5" t="str">
        <x:v>Sam Taylor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Category</x:v>
      </x:c>
      <x:c r="D6" s="12" t="str">
        <x:v>Component</x:v>
      </x:c>
      <x:c r="E6" s="12" t="str">
        <x:v>FY25 reference</x:v>
      </x:c>
      <x:c r="F6" s="12" t="str">
        <x:v>Scope / required clarification</x:v>
      </x:c>
      <x:c r="G6" s="2"/>
    </x:row>
    <x:row r="7" ht="52" customHeight="1">
      <x:c r="A7" s="2"/>
      <x:c r="B7" s="2"/>
      <x:c r="C7" s="8" t="str">
        <x:v>employment</x:v>
      </x:c>
      <x:c r="D7" s="8" t="str">
        <x:v>gross</x:v>
      </x:c>
      <x:c r="E7" s="8" t="str">
        <x:v>Item 1</x:v>
      </x:c>
      <x:c r="F7" s="8" t="str">
        <x:v>Salary or wages. The withholding component is not supplied.</x:v>
      </x:c>
      <x:c r="G7" s="2"/>
    </x:row>
    <x:row r="8" ht="52" customHeight="1">
      <x:c r="A8" s="2"/>
      <x:c r="B8" s="2"/>
      <x:c r="C8" s="8" t="str">
        <x:v>interest</x:v>
      </x:c>
      <x:c r="D8" s="8" t="str">
        <x:v>gross</x:v>
      </x:c>
      <x:c r="E8" s="8" t="str">
        <x:v>Item 10</x:v>
      </x:c>
      <x:c r="F8" s="8" t="str">
        <x:v>Gross interest. Do not infer tax withheld from the gross amount.</x:v>
      </x:c>
      <x:c r="G8" s="2"/>
    </x:row>
    <x:row r="9" ht="52" customHeight="1">
      <x:c r="A9" s="2"/>
      <x:c r="B9" s="2"/>
      <x:c r="C9" s="8" t="str">
        <x:v>trust_income</x:v>
      </x:c>
      <x:c r="D9" s="8" t="str">
        <x:v>ordinary_income</x:v>
      </x:c>
      <x:c r="E9" s="8" t="str">
        <x:v>Supplementary item 13</x:v>
      </x:c>
      <x:c r="F9" s="8" t="str">
        <x:v>Selected ordinary income only. This is not a complete mapping of trust components.</x:v>
      </x:c>
      <x:c r="G9" s="2"/>
    </x:row>
    <x:row r="10" ht="24" customHeight="1">
      <x:c r="A10" s="2"/>
      <x:c r="B10" s="2"/>
      <x:c r="C10" s="2"/>
      <x:c r="D10" s="2"/>
      <x:c r="E10" s="2"/>
      <x:c r="F10" s="2"/>
      <x:c r="G10" s="2"/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6" customHeight="1">
      <x:c r="A15" s="2"/>
      <x:c r="B15" s="2"/>
      <x:c r="C15" s="10" t="str">
        <x:v>Reference context</x:v>
      </x:c>
      <x:c r="D15" s="10"/>
      <x:c r="E15" s="10"/>
      <x:c r="F15" s="10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30" customHeight="1">
      <x:c r="A17" s="2"/>
      <x:c r="B17" s="2"/>
      <x:c r="C17" s="31" t="str">
        <x:v>References are limited to the FY25 individual return and supplement reviewed for this prototype.</x:v>
      </x:c>
      <x:c r="D17" s="2"/>
      <x:c r="E17" s="2"/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4" customHeight="1">
      <x:c r="A19" s="2"/>
      <x:c r="B19" s="2"/>
      <x:c r="C19" s="32" t="str">
        <x:v>Australian Taxation Office — Individual tax return 2025</x:v>
      </x:c>
      <x:c r="D19" s="2"/>
      <x:c r="E19" s="2"/>
      <x:c r="F19" s="2"/>
      <x:c r="G19" s="2"/>
    </x:row>
    <x:row r="20" ht="24" customHeight="1">
      <x:c r="A20" s="2"/>
      <x:c r="B20" s="2"/>
      <x:c r="C20" s="32" t="str">
        <x:v>https://iorder.com.au/publication/Download.aspx?ProdID=2541-6.2025</x:v>
      </x:c>
      <x:c r="D20" s="2"/>
      <x:c r="E20" s="2"/>
      <x:c r="F20" s="2"/>
      <x:c r="G20" s="2"/>
    </x:row>
    <x:row r="21" ht="24" customHeight="1">
      <x:c r="A21" s="2"/>
      <x:c r="B21" s="2"/>
      <x:c r="C21" s="32" t="str">
        <x:v>Australian Taxation Office — Supplementary tax return 2025</x:v>
      </x:c>
      <x:c r="D21" s="2"/>
      <x:c r="E21" s="2"/>
      <x:c r="F21" s="2"/>
      <x:c r="G21" s="2"/>
    </x:row>
    <x:row r="22" ht="24" customHeight="1">
      <x:c r="A22" s="2"/>
      <x:c r="B22" s="2"/>
      <x:c r="C22" s="32" t="str">
        <x:v>https://iorder.com.au/publication/Download.aspx?ProdID=2679-6.2025</x:v>
      </x:c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31" hidden="0" customWidth="1"/>
    <x:col min="5" max="5" width="84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2"/>
      <x:c r="B2" s="2"/>
      <x:c r="C2" s="4" t="str">
        <x:v>Queries</x:v>
      </x:c>
      <x:c r="D2" s="4"/>
      <x:c r="E2" s="4"/>
      <x:c r="F2" s="4"/>
    </x:row>
    <x:row r="3" ht="24" customHeight="1">
      <x:c r="A3" s="2"/>
      <x:c r="B3" s="2"/>
      <x:c r="C3" s="5" t="str">
        <x:v>Sam Taylor · FY25 · 1 July 2024 to 30 June 2025 · AUD · Synthetic</x:v>
      </x:c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2"/>
      <x:c r="B6" s="2"/>
      <x:c r="C6" s="12" t="str">
        <x:v>Prior-year line</x:v>
      </x:c>
      <x:c r="D6" s="12" t="str">
        <x:v>Reason</x:v>
      </x:c>
      <x:c r="E6" s="12" t="str">
        <x:v>Current-year request</x:v>
      </x:c>
      <x:c r="F6" s="12" t="str">
        <x:v>Evidence state</x:v>
      </x:c>
    </x:row>
    <x:row r="7" ht="60" customHeight="1">
      <x:c r="A7" s="2"/>
      <x:c r="B7" s="2"/>
      <x:c r="C7" s="8" t="str">
        <x:v>SAM-EMP</x:v>
      </x:c>
      <x:c r="D7" s="8" t="str">
        <x:v>FY25 salary or wages</x:v>
      </x:c>
      <x:c r="E7" s="8" t="str">
        <x:v>Provide your current-year income statement and confirm any change of employer.</x:v>
      </x:c>
      <x:c r="F7" s="8" t="str">
        <x:v>Not yet requested</x:v>
      </x:c>
    </x:row>
    <x:row r="8" ht="60" customHeight="1">
      <x:c r="A8" s="2"/>
      <x:c r="B8" s="2"/>
      <x:c r="C8" s="8" t="str">
        <x:v>SAM-INT</x:v>
      </x:c>
      <x:c r="D8" s="8" t="str">
        <x:v>FY25 bank interest</x:v>
      </x:c>
      <x:c r="E8" s="8" t="str">
        <x:v>Provide the current-year annual interest summary and confirm account ownership.</x:v>
      </x:c>
      <x:c r="F8" s="8" t="str">
        <x:v>Not yet requested</x:v>
      </x:c>
    </x:row>
    <x:row r="9" ht="60" customHeight="1">
      <x:c r="A9" s="2"/>
      <x:c r="B9" s="2"/>
      <x:c r="C9" s="8" t="str">
        <x:v>SAM-TRUST</x:v>
      </x:c>
      <x:c r="D9" s="8" t="str">
        <x:v>FY25 trust ordinary-income allocation</x:v>
      </x:c>
      <x:c r="E9" s="8" t="str">
        <x:v>Provide the current-year beneficiary statement with each income and credit component.</x:v>
      </x:c>
      <x:c r="F9" s="8" t="str">
        <x:v>Not yet requested</x:v>
      </x:c>
    </x:row>
    <x:row r="10" ht="24" customHeight="1">
      <x:c r="A10" s="2"/>
      <x:c r="B10" s="2"/>
      <x:c r="C10" s="2"/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2"/>
      <x:c r="B14" s="2"/>
      <x:c r="C14" s="2"/>
      <x:c r="D14" s="2"/>
      <x:c r="E14" s="2"/>
      <x:c r="F14" s="2"/>
    </x:row>
    <x:row r="15" ht="26" customHeight="1">
      <x:c r="A15" s="2"/>
      <x:c r="B15" s="2"/>
      <x:c r="C15" s="10" t="str">
        <x:v>Change discovery</x:v>
      </x:c>
      <x:c r="D15" s="10"/>
      <x:c r="E15" s="10"/>
      <x:c r="F15" s="10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2"/>
      <x:c r="B17" s="2"/>
      <x:c r="C17" s="2" t="str">
        <x:v>New income sources</x:v>
      </x:c>
      <x:c r="D17" s="30" t="str">
        <x:v>Confirm any new employer, bank account, investment or trust distribution.</x:v>
      </x:c>
      <x:c r="E17" s="2"/>
      <x:c r="F17" s="2"/>
    </x:row>
    <x:row r="18" ht="24" customHeight="1">
      <x:c r="A18" s="2"/>
      <x:c r="B18" s="2"/>
      <x:c r="C18" s="2" t="str">
        <x:v>Ceased activities</x:v>
      </x:c>
      <x:c r="D18" s="30" t="str">
        <x:v>Confirm whether each prior-year source continued, ceased or changed ownership.</x:v>
      </x:c>
      <x:c r="E18" s="2"/>
      <x:c r="F18" s="2"/>
    </x:row>
    <x:row r="19" ht="24" customHeight="1">
      <x:c r="A19" s="2"/>
      <x:c r="B19" s="2"/>
      <x:c r="C19" s="2" t="str">
        <x:v>Unlisted matters</x:v>
      </x:c>
      <x:c r="D19" s="30" t="str">
        <x:v>Ask about deductions and other relevant facts through the adviser-approved checklist.</x:v>
      </x:c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2"/>
      <x:c r="B21" s="2"/>
      <x:c r="C21" s="2"/>
      <x:c r="D21" s="2"/>
      <x:c r="E21" s="2"/>
      <x:c r="F21" s="2"/>
    </x:row>
    <x:row r="22" ht="30" customHeight="1">
      <x:c r="A22" s="2"/>
      <x:c r="B22" s="2"/>
      <x:c r="C22" s="31" t="str">
        <x:v>FY25 amounts trigger enquiries only. No amount in this sheet represents accepted FY26 income.</x:v>
      </x:c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7" hidden="0" customWidth="1"/>
    <x:col min="4" max="4" width="16" hidden="0" customWidth="1"/>
    <x:col min="5" max="5" width="24" hidden="0" customWidth="1"/>
    <x:col min="6" max="6" width="13" hidden="0" customWidth="1"/>
    <x:col min="7" max="7" width="23" hidden="0" customWidth="1"/>
    <x:col min="8" max="8" width="19" hidden="0" customWidth="1"/>
    <x:col min="9" max="9" width="91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4" t="str">
        <x:v>Synthetic evidence index</x:v>
      </x:c>
      <x:c r="B2" s="4"/>
      <x:c r="C2" s="4"/>
      <x:c r="D2" s="4"/>
      <x:c r="E2" s="4"/>
      <x:c r="F2" s="4"/>
      <x:c r="G2" s="4"/>
      <x:c r="H2" s="4"/>
      <x:c r="I2" s="4"/>
    </x:row>
    <x:row r="3" ht="32" customHeight="1">
      <x:c r="A3" s="5" t="str">
        <x:v>Sam Taylor · FY25 · Structured test records; no genuine issuer statements</x:v>
      </x:c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2" t="str">
        <x:v>document_id</x:v>
      </x:c>
      <x:c r="B6" s="12" t="str">
        <x:v>line_id</x:v>
      </x:c>
      <x:c r="C6" s="12" t="str">
        <x:v>entity_id</x:v>
      </x:c>
      <x:c r="D6" s="12" t="str">
        <x:v>financial_year</x:v>
      </x:c>
      <x:c r="E6" s="12" t="str">
        <x:v>component</x:v>
      </x:c>
      <x:c r="F6" s="12" t="str">
        <x:v>currency</x:v>
      </x:c>
      <x:c r="G6" s="12" t="str">
        <x:v>basis</x:v>
      </x:c>
      <x:c r="H6" s="12" t="str">
        <x:v>amount</x:v>
      </x:c>
      <x:c r="I6" s="12" t="str">
        <x:v>description</x:v>
      </x:c>
    </x:row>
    <x:row r="7" ht="72" customHeight="1">
      <x:c r="A7" s="8" t="str">
        <x:v>FY25-SAM-EMP</x:v>
      </x:c>
      <x:c r="B7" s="8" t="str">
        <x:v>SAM-EMP</x:v>
      </x:c>
      <x:c r="C7" s="8" t="str">
        <x:v>sam-taylor</x:v>
      </x:c>
      <x:c r="D7" s="15" t="n">
        <x:v>2025</x:v>
      </x:c>
      <x:c r="E7" s="8" t="str">
        <x:v>gross</x:v>
      </x:c>
      <x:c r="F7" s="8" t="str">
        <x:v>AUD</x:v>
      </x:c>
      <x:c r="G7" s="8" t="str">
        <x:v>gross</x:v>
      </x:c>
      <x:c r="H7" s="14" t="n">
        <x:v>76000</x:v>
      </x:c>
      <x:c r="I7" s="8" t="str">
        <x:v>Synthetic annual income-statement fixture. Fictional employer: Southern Learning Pty Ltd. Gross salary only; withholding not supplied.</x:v>
      </x:c>
    </x:row>
    <x:row r="8" ht="72" customHeight="1">
      <x:c r="A8" s="8" t="str">
        <x:v>FY25-SAM-INT</x:v>
      </x:c>
      <x:c r="B8" s="8" t="str">
        <x:v>SAM-INT</x:v>
      </x:c>
      <x:c r="C8" s="8" t="str">
        <x:v>sam-taylor</x:v>
      </x:c>
      <x:c r="D8" s="15" t="n">
        <x:v>2025</x:v>
      </x:c>
      <x:c r="E8" s="8" t="str">
        <x:v>gross</x:v>
      </x:c>
      <x:c r="F8" s="8" t="str">
        <x:v>AUD</x:v>
      </x:c>
      <x:c r="G8" s="8" t="str">
        <x:v>gross</x:v>
      </x:c>
      <x:c r="H8" s="14" t="n">
        <x:v>420</x:v>
      </x:c>
      <x:c r="I8" s="8" t="str">
        <x:v>Synthetic annual interest-summary fixture. Sam sole ownership. No bank account identifier or withholding amount supplied.</x:v>
      </x:c>
    </x:row>
    <x:row r="9" ht="72" customHeight="1">
      <x:c r="A9" s="8" t="str">
        <x:v>FY25-SAM-TRUST</x:v>
      </x:c>
      <x:c r="B9" s="8" t="str">
        <x:v>SAM-TRUST</x:v>
      </x:c>
      <x:c r="C9" s="8" t="str">
        <x:v>sam-taylor</x:v>
      </x:c>
      <x:c r="D9" s="15" t="n">
        <x:v>2025</x:v>
      </x:c>
      <x:c r="E9" s="8" t="str">
        <x:v>ordinary_income</x:v>
      </x:c>
      <x:c r="F9" s="8" t="str">
        <x:v>AUD</x:v>
      </x:c>
      <x:c r="G9" s="8" t="str">
        <x:v>gross</x:v>
      </x:c>
      <x:c r="H9" s="14" t="n">
        <x:v>12000</x:v>
      </x:c>
      <x:c r="I9" s="8" t="str">
        <x:v>Synthetic beneficiary-summary fixture from Taylor Family Trust. Ordinary-income component only, matching TR-DIST-SAM.</x:v>
      </x:c>
    </x:row>
    <x:row r="10" ht="32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2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2" customHeight="1">
      <x:c r="A12" s="2" t="str">
        <x:v>One document may support separate components. Match line, entity, period, component, currency and basis before comparing.</x:v>
      </x:c>
      <x:c r="B12" s="2"/>
      <x:c r="C12" s="2"/>
      <x:c r="D12" s="2"/>
      <x:c r="E12" s="2"/>
      <x:c r="F12" s="2"/>
      <x:c r="G12" s="2"/>
      <x:c r="H12" s="2"/>
      <x:c r="I12" s="2"/>
    </x:row>
    <x:row r="13" ht="3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2" customHeight="1">
      <x:c r="A14" s="2"/>
      <x:c r="B14" s="2"/>
      <x:c r="C14" s="2"/>
      <x:c r="D14" s="2"/>
      <x:c r="E14" s="2"/>
      <x:c r="F14" s="2"/>
      <x:c r="G14" s="2"/>
      <x:c r="H14" s="2"/>
      <x:c r="I14" s="2"/>
    </x:row>
  </x:sheetData>
  <x:pageMargins left="0.7" right="0.7" top="0.75" bottom="0.75" header="0.3" footer="0.3"/>
  <x:tableParts count="1">
    <x:tablePart xmlns:r="http://schemas.openxmlformats.org/officeDocument/2006/relationships" r:id="R8bb3eeb5fa914f2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22" hidden="0" customWidth="1"/>
    <x:col min="5" max="5" width="39" hidden="0" customWidth="1"/>
    <x:col min="6" max="6" width="24" hidden="0" customWidth="1"/>
    <x:col min="7" max="7" width="17" hidden="0" customWidth="1"/>
    <x:col min="8" max="8" width="13" hidden="0" customWidth="1"/>
    <x:col min="9" max="9" width="23" hidden="0" customWidth="1"/>
    <x:col min="10" max="10" width="24" hidden="0" customWidth="1"/>
    <x:col min="11" max="11" width="16" hidden="0" customWidth="1"/>
    <x:col min="12" max="12" width="75" hidden="0" customWidth="1"/>
  </x:cols>
  <x:sheetData>
    <x:row r="1" ht="4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4" t="str">
        <x:v>FY25 import lines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42" customHeight="1">
      <x:c r="A3" s="5" t="str">
        <x:v>Sam Taylor · Synthetic · Named table Peregrine_Lines · Numeric amounts only; no formulas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2" t="str">
        <x:v>line_id</x:v>
      </x:c>
      <x:c r="B6" s="12" t="str">
        <x:v>entity_id</x:v>
      </x:c>
      <x:c r="C6" s="12" t="str">
        <x:v>financial_year</x:v>
      </x:c>
      <x:c r="D6" s="12" t="str">
        <x:v>category</x:v>
      </x:c>
      <x:c r="E6" s="12" t="str">
        <x:v>label</x:v>
      </x:c>
      <x:c r="F6" s="12" t="str">
        <x:v>component</x:v>
      </x:c>
      <x:c r="G6" s="12" t="str">
        <x:v>amount</x:v>
      </x:c>
      <x:c r="H6" s="12" t="str">
        <x:v>currency</x:v>
      </x:c>
      <x:c r="I6" s="12" t="str">
        <x:v>basis</x:v>
      </x:c>
      <x:c r="J6" s="12" t="str">
        <x:v>source_ref</x:v>
      </x:c>
      <x:c r="K6" s="12" t="str">
        <x:v>recurrence</x:v>
      </x:c>
      <x:c r="L6" s="12" t="str">
        <x:v>request_text</x:v>
      </x:c>
    </x:row>
    <x:row r="7" ht="64" customHeight="1">
      <x:c r="A7" s="8" t="str">
        <x:v>SAM-EMP</x:v>
      </x:c>
      <x:c r="B7" s="8" t="str">
        <x:v>sam-taylor</x:v>
      </x:c>
      <x:c r="C7" s="15" t="n">
        <x:v>2025</x:v>
      </x:c>
      <x:c r="D7" s="8" t="str">
        <x:v>employment</x:v>
      </x:c>
      <x:c r="E7" s="8" t="str">
        <x:v>Salary or wages</x:v>
      </x:c>
      <x:c r="F7" s="8" t="str">
        <x:v>gross</x:v>
      </x:c>
      <x:c r="G7" s="14" t="n">
        <x:v>76000</x:v>
      </x:c>
      <x:c r="H7" s="8" t="str">
        <x:v>AUD</x:v>
      </x:c>
      <x:c r="I7" s="8" t="str">
        <x:v>gross</x:v>
      </x:c>
      <x:c r="J7" s="8" t="str">
        <x:v>FY25-SAM-EMP</x:v>
      </x:c>
      <x:c r="K7" s="8" t="str">
        <x:v>annual</x:v>
      </x:c>
      <x:c r="L7" s="8" t="str">
        <x:v>Provide your current-year income statement and confirm any change of employer.</x:v>
      </x:c>
    </x:row>
    <x:row r="8" ht="64" customHeight="1">
      <x:c r="A8" s="8" t="str">
        <x:v>SAM-INT</x:v>
      </x:c>
      <x:c r="B8" s="8" t="str">
        <x:v>sam-taylor</x:v>
      </x:c>
      <x:c r="C8" s="15" t="n">
        <x:v>2025</x:v>
      </x:c>
      <x:c r="D8" s="8" t="str">
        <x:v>interest</x:v>
      </x:c>
      <x:c r="E8" s="8" t="str">
        <x:v>Bank interest</x:v>
      </x:c>
      <x:c r="F8" s="8" t="str">
        <x:v>gross</x:v>
      </x:c>
      <x:c r="G8" s="14" t="n">
        <x:v>420</x:v>
      </x:c>
      <x:c r="H8" s="8" t="str">
        <x:v>AUD</x:v>
      </x:c>
      <x:c r="I8" s="8" t="str">
        <x:v>gross</x:v>
      </x:c>
      <x:c r="J8" s="8" t="str">
        <x:v>FY25-SAM-INT</x:v>
      </x:c>
      <x:c r="K8" s="8" t="str">
        <x:v>annual</x:v>
      </x:c>
      <x:c r="L8" s="8" t="str">
        <x:v>Provide the current-year annual interest summary and confirm account ownership.</x:v>
      </x:c>
    </x:row>
    <x:row r="9" ht="64" customHeight="1">
      <x:c r="A9" s="8" t="str">
        <x:v>SAM-TRUST</x:v>
      </x:c>
      <x:c r="B9" s="8" t="str">
        <x:v>sam-taylor</x:v>
      </x:c>
      <x:c r="C9" s="15" t="n">
        <x:v>2025</x:v>
      </x:c>
      <x:c r="D9" s="8" t="str">
        <x:v>trust_income</x:v>
      </x:c>
      <x:c r="E9" s="8" t="str">
        <x:v>Trust ordinary-income allocation</x:v>
      </x:c>
      <x:c r="F9" s="8" t="str">
        <x:v>ordinary_income</x:v>
      </x:c>
      <x:c r="G9" s="14" t="n">
        <x:v>12000</x:v>
      </x:c>
      <x:c r="H9" s="8" t="str">
        <x:v>AUD</x:v>
      </x:c>
      <x:c r="I9" s="8" t="str">
        <x:v>gross</x:v>
      </x:c>
      <x:c r="J9" s="8" t="str">
        <x:v>FY25-SAM-TRUST</x:v>
      </x:c>
      <x:c r="K9" s="8" t="str">
        <x:v>annual</x:v>
      </x:c>
      <x:c r="L9" s="8" t="str">
        <x:v>Provide the current-year beneficiary statement with each income and credit component.</x:v>
      </x:c>
    </x:row>
    <x:row r="10" ht="4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4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</x:sheetData>
  <x:pageMargins left="0.7" right="0.7" top="0.75" bottom="0.75" header="0.3" footer="0.3"/>
  <x:tableParts count="1">
    <x:tablePart xmlns:r="http://schemas.openxmlformats.org/officeDocument/2006/relationships" r:id="Reb565cf154694745"/>
  </x:tableParts>
</x:worksheet>
</file>