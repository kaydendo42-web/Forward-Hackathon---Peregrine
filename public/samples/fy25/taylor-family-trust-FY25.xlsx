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0b3dcef92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ee8b7ffda8a14c05"/>
    <x:sheet xmlns:r="http://schemas.openxmlformats.org/officeDocument/2006/relationships" name="Trial Balance" sheetId="2" r:id="Rcebb26fd10554dd5"/>
    <x:sheet xmlns:r="http://schemas.openxmlformats.org/officeDocument/2006/relationships" name="Bank Reconciliation" sheetId="3" r:id="Rd218f695974a4415"/>
    <x:sheet xmlns:r="http://schemas.openxmlformats.org/officeDocument/2006/relationships" name="Investments" sheetId="4" r:id="R209dffb9979943c5"/>
    <x:sheet xmlns:r="http://schemas.openxmlformats.org/officeDocument/2006/relationships" name="Beneficiaries" sheetId="5" r:id="R47f5a33f62354b6e"/>
    <x:sheet xmlns:r="http://schemas.openxmlformats.org/officeDocument/2006/relationships" name="Trust Documents" sheetId="6" r:id="R5524c9310d2d4a5b"/>
    <x:sheet xmlns:r="http://schemas.openxmlformats.org/officeDocument/2006/relationships" name="Evidence" sheetId="7" r:id="R9fc82672657f428c"/>
    <x:sheet xmlns:r="http://schemas.openxmlformats.org/officeDocument/2006/relationships" name="Data" sheetId="8" r:id="R9f9d77f35b90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&quot;—&quot;"/>
    <x:numFmt numFmtId="201" formatCode="0"/>
  </x:numFmts>
  <x:fonts count="10">
    <x:font>
      <x:sz val="11"/>
      <x:name val="Carlito"/>
    </x:font>
    <x:font>
      <x:sz val="11"/>
      <x:color rgb="FF162537"/>
      <x:name val="Helvetica Neue"/>
    </x:font>
    <x:font>
      <x:b/>
      <x:sz val="18"/>
      <x:color rgb="FF162537"/>
      <x:name val="Helvetica Neue"/>
    </x:font>
    <x:font>
      <x:i/>
      <x:sz val="10"/>
      <x:color rgb="FF576779"/>
      <x:name val="Helvetica Neue"/>
    </x:font>
    <x:font>
      <x:b/>
      <x:sz val="11"/>
      <x:color rgb="FFFFFFFF"/>
      <x:name val="Helvetica Neue"/>
    </x:font>
    <x:font>
      <x:b/>
      <x:sz val="11"/>
      <x:color rgb="FF162537"/>
      <x:name val="Helvetica Neue"/>
    </x:font>
    <x:font>
      <x:sz val="11"/>
      <x:color rgb="FF008000"/>
      <x:name val="Helvetica Neue"/>
    </x:font>
    <x:font>
      <x:sz val="11"/>
      <x:color rgb="FF000000"/>
      <x:name val="Helvetica Neue"/>
    </x:font>
    <x:font>
      <x:b/>
      <x:sz val="11"/>
      <x:color rgb="FF000000"/>
      <x:name val="Helvetica Neue"/>
    </x:font>
    <x:font>
      <x:b/>
      <x:sz val="11"/>
      <x:color rgb="FF008000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5"/>
      </x:patternFill>
    </x:fill>
    <x:fill>
      <x:patternFill patternType="solid">
        <x:fgColor rgb="FFF0F4F7"/>
      </x:patternFill>
    </x:fill>
  </x:fills>
  <x:borders count="3">
    <x:border/>
    <x:border>
      <x:bottom style="thin">
        <x:color rgb="FFB5C1CC"/>
      </x:bottom>
    </x:border>
    <x:border>
      <x:top style="thin">
        <x:color rgb="FFB5C1CC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200" fontId="7" fillId="0" borderId="0" xfId="0" applyNumberFormat="1" applyFont="1" applyFill="1" applyBorder="1" applyAlignment="1">
      <x:alignment horizontal="right" vertical="center"/>
    </x:xf>
    <x:xf numFmtId="200" fontId="7" fillId="0" borderId="2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horizontal="right" vertical="center"/>
    </x:xf>
    <x:xf numFmtId="200" fontId="9" fillId="0" borderId="2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82f55c0d9413f" /><Relationship Type="http://schemas.openxmlformats.org/officeDocument/2006/relationships/theme" Target="/xl/theme/theme1.xml" Id="R2709a2b45c4d4353" /><Relationship Type="http://schemas.openxmlformats.org/officeDocument/2006/relationships/sharedStrings" Target="/xl/sharedStrings.xml" Id="R68a87d4f00a541e7" /><Relationship Type="http://schemas.openxmlformats.org/officeDocument/2006/relationships/worksheet" Target="/xl/worksheets/sheet1.xml" Id="Ree8b7ffda8a14c05" /><Relationship Type="http://schemas.openxmlformats.org/officeDocument/2006/relationships/worksheet" Target="/xl/worksheets/sheet2.xml" Id="Rcebb26fd10554dd5" /><Relationship Type="http://schemas.openxmlformats.org/officeDocument/2006/relationships/worksheet" Target="/xl/worksheets/sheet3.xml" Id="Rd218f695974a4415" /><Relationship Type="http://schemas.openxmlformats.org/officeDocument/2006/relationships/worksheet" Target="/xl/worksheets/sheet4.xml" Id="R209dffb9979943c5" /><Relationship Type="http://schemas.openxmlformats.org/officeDocument/2006/relationships/worksheet" Target="/xl/worksheets/sheet5.xml" Id="R47f5a33f62354b6e" /><Relationship Type="http://schemas.openxmlformats.org/officeDocument/2006/relationships/worksheet" Target="/xl/worksheets/sheet6.xml" Id="R5524c9310d2d4a5b" /><Relationship Type="http://schemas.openxmlformats.org/officeDocument/2006/relationships/worksheet" Target="/xl/worksheets/sheet7.xml" Id="R9fc82672657f428c" /><Relationship Type="http://schemas.openxmlformats.org/officeDocument/2006/relationships/worksheet" Target="/xl/worksheets/sheet8.xml" Id="R9f9d77f35b90419f" /></Relationships>
</file>

<file path=xl/tables/table1.xml><?xml version="1.0" encoding="utf-8"?>
<x:table xmlns:x="http://schemas.openxmlformats.org/spreadsheetml/2006/main" id="1" name="Peregrine_Metadata" displayName="Peregrine_Metadata" ref="A6:B1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eregrine_Evidence" displayName="Peregrine_Evidence" ref="A6:I11" headerRowCount="1" totalsRowCount="0" totalsRowShown="0">
  <x:tableColumns count="9">
    <x:tableColumn id="1" name="document_id"/>
    <x:tableColumn id="2" name="line_id"/>
    <x:tableColumn id="3" name="entity_id"/>
    <x:tableColumn id="4" name="financial_year"/>
    <x:tableColumn id="5" name="component"/>
    <x:tableColumn id="6" name="currency"/>
    <x:tableColumn id="7" name="basis"/>
    <x:tableColumn id="8" name="amount"/>
    <x:tableColumn id="9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regrine_Lines" displayName="Peregrine_Lines" ref="A6:L11" headerRowCount="1" totalsRowCount="0" totalsRowShown="0">
  <x:tableColumns count="12">
    <x:tableColumn id="1" name="line_id"/>
    <x:tableColumn id="2" name="entity_id"/>
    <x:tableColumn id="3" name="financial_year"/>
    <x:tableColumn id="4" name="category"/>
    <x:tableColumn id="5" name="label"/>
    <x:tableColumn id="6" name="component"/>
    <x:tableColumn id="7" name="amount"/>
    <x:tableColumn id="8" name="currency"/>
    <x:tableColumn id="9" name="basis"/>
    <x:tableColumn id="10" name="source_ref"/>
    <x:tableColumn id="11" name="recurrence"/>
    <x:tableColumn id="12" name="request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887bd59b834e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4d209fc820af44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88b88c7398cc40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" hidden="0" customWidth="1"/>
    <x:col min="4" max="4" width="32" hidden="0" customWidth="1"/>
    <x:col min="5" max="5" width="48" hidden="0" customWidth="1"/>
    <x:col min="6" max="6" width="1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4" customHeight="1">
      <x:c r="A2" s="4" t="str">
        <x:v>Taylor Family Trust — FY25</x:v>
      </x:c>
      <x:c r="B2" s="4"/>
      <x:c r="C2" s="4"/>
      <x:c r="D2" s="4"/>
      <x:c r="E2" s="4"/>
      <x:c r="F2" s="4"/>
    </x:row>
    <x:row r="3" ht="25" customHeight="1">
      <x:c r="A3" s="5" t="str">
        <x:v>Peregrine synthetic baseline · 1 July 2024 to 30 June 2025 · AUD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0" customHeight="1">
      <x:c r="A6" s="7" t="str">
        <x:v>key</x:v>
      </x:c>
      <x:c r="B6" s="7" t="str">
        <x:v>value</x:v>
      </x:c>
      <x:c r="C6" s="2"/>
      <x:c r="D6" s="7" t="str">
        <x:v>Workbook contents</x:v>
      </x:c>
      <x:c r="E6" s="7" t="str">
        <x:v>Purpose</x:v>
      </x:c>
      <x:c r="F6" s="2"/>
    </x:row>
    <x:row r="7" ht="35" customHeight="1">
      <x:c r="A7" s="2" t="str">
        <x:v>schema_version</x:v>
      </x:c>
      <x:c r="B7" s="8" t="str">
        <x:v>1</x:v>
      </x:c>
      <x:c r="C7" s="2"/>
      <x:c r="D7" s="8" t="str">
        <x:v>Metadata</x:v>
      </x:c>
      <x:c r="E7" s="8" t="str">
        <x:v>Entity, period, schema and scope</x:v>
      </x:c>
      <x:c r="F7" s="2"/>
    </x:row>
    <x:row r="8" ht="35" customHeight="1">
      <x:c r="A8" s="2" t="str">
        <x:v>workbook_id</x:v>
      </x:c>
      <x:c r="B8" s="8" t="str">
        <x:v>FY25-taylor-family-trust</x:v>
      </x:c>
      <x:c r="C8" s="2"/>
      <x:c r="D8" s="8" t="str">
        <x:v>Trial Balance</x:v>
      </x:c>
      <x:c r="E8" s="8" t="str">
        <x:v>Illustrative closing debit and credit balances</x:v>
      </x:c>
      <x:c r="F8" s="2"/>
    </x:row>
    <x:row r="9" ht="35" customHeight="1">
      <x:c r="A9" s="2" t="str">
        <x:v>entity_id</x:v>
      </x:c>
      <x:c r="B9" s="8" t="str">
        <x:v>taylor-family-trust</x:v>
      </x:c>
      <x:c r="C9" s="2"/>
      <x:c r="D9" s="8" t="str">
        <x:v>Bank Reconciliation</x:v>
      </x:c>
      <x:c r="E9" s="8" t="str">
        <x:v>Statement-to-book balance bridge</x:v>
      </x:c>
      <x:c r="F9" s="2"/>
    </x:row>
    <x:row r="10" ht="35" customHeight="1">
      <x:c r="A10" s="2" t="str">
        <x:v>entity_name</x:v>
      </x:c>
      <x:c r="B10" s="8" t="str">
        <x:v>Taylor Family Trust</x:v>
      </x:c>
      <x:c r="C10" s="2"/>
      <x:c r="D10" s="8" t="str">
        <x:v>Investments</x:v>
      </x:c>
      <x:c r="E10" s="8" t="str">
        <x:v>Holding detail at seeded carrying amounts</x:v>
      </x:c>
      <x:c r="F10" s="2"/>
    </x:row>
    <x:row r="11" ht="35" customHeight="1">
      <x:c r="A11" s="2" t="str">
        <x:v>entity_type</x:v>
      </x:c>
      <x:c r="B11" s="8" t="str">
        <x:v>trust</x:v>
      </x:c>
      <x:c r="C11" s="2"/>
      <x:c r="D11" s="8" t="str">
        <x:v>Beneficiaries</x:v>
      </x:c>
      <x:c r="E11" s="8" t="str">
        <x:v>Ordinary-income pool and individual allocations</x:v>
      </x:c>
      <x:c r="F11" s="2"/>
    </x:row>
    <x:row r="12" ht="35" customHeight="1">
      <x:c r="A12" s="2" t="str">
        <x:v>financial_year</x:v>
      </x:c>
      <x:c r="B12" s="8" t="n">
        <x:v>2025</x:v>
      </x:c>
      <x:c r="C12" s="2"/>
      <x:c r="D12" s="8" t="str">
        <x:v>Trust Documents</x:v>
      </x:c>
      <x:c r="E12" s="8" t="str">
        <x:v>Document availability and adviser questions</x:v>
      </x:c>
      <x:c r="F12" s="2"/>
    </x:row>
    <x:row r="13" ht="35" customHeight="1">
      <x:c r="A13" s="2" t="str">
        <x:v>synthetic</x:v>
      </x:c>
      <x:c r="B13" s="8" t="str">
        <x:v>true</x:v>
      </x:c>
      <x:c r="C13" s="2"/>
      <x:c r="D13" s="8" t="str">
        <x:v>Evidence</x:v>
      </x:c>
      <x:c r="E13" s="8" t="str">
        <x:v>Independent synthetic evidence records</x:v>
      </x:c>
      <x:c r="F13" s="2"/>
    </x:row>
    <x:row r="14" ht="35" customHeight="1">
      <x:c r="A14" s="2" t="str">
        <x:v>template_version</x:v>
      </x:c>
      <x:c r="B14" s="8" t="str">
        <x:v>1</x:v>
      </x:c>
      <x:c r="C14" s="2"/>
      <x:c r="D14" s="8" t="str">
        <x:v>Data</x:v>
      </x:c>
      <x:c r="E14" s="8" t="str">
        <x:v>Named import table with stable line IDs</x:v>
      </x:c>
      <x:c r="F14" s="2"/>
    </x:row>
    <x:row r="15" ht="25" customHeight="1">
      <x:c r="A15" s="2" t="str">
        <x:v>baseline_version</x:v>
      </x:c>
      <x:c r="B15" s="8" t="n">
        <x:v>1</x:v>
      </x:c>
      <x:c r="C15" s="2"/>
      <x:c r="D15" s="2"/>
      <x:c r="E15" s="2"/>
      <x:c r="F15" s="2"/>
    </x:row>
    <x:row r="16" ht="25" customHeight="1">
      <x:c r="A16" s="2" t="str">
        <x:v>status</x:v>
      </x:c>
      <x:c r="B16" s="8" t="str">
        <x:v>synthetic_reviewed</x:v>
      </x:c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10" t="str">
        <x:v>Scope and use</x:v>
      </x:c>
      <x:c r="B19" s="10"/>
      <x:c r="C19" s="10"/>
      <x:c r="D19" s="10"/>
      <x:c r="E19" s="10"/>
      <x:c r="F19" s="10"/>
    </x:row>
    <x:row r="20" ht="25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All people, organisations, amounts and documents in this workbook are fictional.</x:v>
      </x:c>
      <x:c r="B21" s="2"/>
      <x:c r="C21" s="2"/>
      <x:c r="D21" s="2"/>
      <x:c r="E21" s="2"/>
      <x:c r="F21" s="2"/>
    </x:row>
    <x:row r="22" ht="27" customHeight="1">
      <x:c r="A22" s="2" t="str">
        <x:v>Illustrative balances and ordinary-income allocations only. Legal entitlement, tax character and resolution validity need adviser assessment.</x:v>
      </x:c>
      <x:c r="B22" s="2"/>
      <x:c r="C22" s="2"/>
      <x:c r="D22" s="2"/>
      <x:c r="E22" s="2"/>
      <x:c r="F22" s="2"/>
    </x:row>
    <x:row r="23" ht="27" customHeight="1">
      <x:c r="A23" s="2" t="str">
        <x:v>This is a limited workpaper prototype. It is not a completed tax return or an ATO lodgment record.</x:v>
      </x:c>
      <x:c r="B23" s="2"/>
      <x:c r="C23" s="2"/>
      <x:c r="D23" s="2"/>
      <x:c r="E23" s="2"/>
      <x:c r="F23" s="2"/>
    </x:row>
    <x:row r="24" ht="27" customHeight="1">
      <x:c r="A24" s="2" t="str">
        <x:v>The synthetic_reviewed value seeds the demo. Import approval requires an authenticated event in the app.</x:v>
      </x:c>
      <x:c r="B24" s="2"/>
      <x:c r="C24" s="2"/>
      <x:c r="D24" s="2"/>
      <x:c r="E24" s="2"/>
      <x:c r="F24" s="2"/>
    </x:row>
    <x:row r="25" ht="27" customHeight="1">
      <x:c r="A25" s="2" t="str">
        <x:v>Use FY25 only as a comparative and enquiry source. Obtain separate evidence for the current financial year.</x:v>
      </x:c>
      <x:c r="B25" s="2"/>
      <x:c r="C25" s="2"/>
      <x:c r="D25" s="2"/>
      <x:c r="E25" s="2"/>
      <x:c r="F25" s="2"/>
    </x:row>
    <x:row r="26" ht="27" customHeight="1">
      <x:c r="A26" s="2" t="str">
        <x:v>Green figures link to another sheet. Black figures calculate within the sheet. Missing document amounts stay blank.</x:v>
      </x:c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  <x:tableParts count="1">
    <x:tablePart xmlns:r="http://schemas.openxmlformats.org/officeDocument/2006/relationships" r:id="Rf4887bd59b834e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22" hidden="0" customWidth="1"/>
    <x:col min="5" max="5" width="22" hidden="0" customWidth="1"/>
    <x:col min="6" max="6" width="28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Trial Balance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Family Trust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Account</x:v>
      </x:c>
      <x:c r="D6" s="12" t="str">
        <x:v>Debit AUD</x:v>
      </x:c>
      <x:c r="E6" s="12" t="str">
        <x:v>Credit AUD</x:v>
      </x:c>
      <x:c r="F6" s="12" t="str">
        <x:v>Source</x:v>
      </x:c>
      <x:c r="G6" s="12" t="str">
        <x:v>Comment</x:v>
      </x:c>
    </x:row>
    <x:row r="7" ht="38" customHeight="1">
      <x:c r="A7" s="2"/>
      <x:c r="B7" s="2"/>
      <x:c r="C7" s="8" t="str">
        <x:v>Bank</x:v>
      </x:c>
      <x:c r="D7" s="20" t="n">
        <x:f>INDEX('Data'!$G$7:$G$11,MATCH("TR-BANK",'Data'!$A$7:$A$11,0))</x:f>
        <x:v>16000</x:v>
      </x:c>
      <x:c r="E7" s="14"/>
      <x:c r="F7" s="8" t="str">
        <x:v>TR-BANK</x:v>
      </x:c>
      <x:c r="G7" s="8" t="str">
        <x:v>Reconciled cash</x:v>
      </x:c>
    </x:row>
    <x:row r="8" ht="38" customHeight="1">
      <x:c r="A8" s="2"/>
      <x:c r="B8" s="2"/>
      <x:c r="C8" s="8" t="str">
        <x:v>Investments</x:v>
      </x:c>
      <x:c r="D8" s="20" t="n">
        <x:f>INDEX('Data'!$G$7:$G$11,MATCH("TR-INVEST",'Data'!$A$7:$A$11,0))</x:f>
        <x:v>150000</x:v>
      </x:c>
      <x:c r="E8" s="14"/>
      <x:c r="F8" s="8" t="str">
        <x:v>TR-INVEST</x:v>
      </x:c>
      <x:c r="G8" s="8" t="str">
        <x:v>Seeded cost carrying amounts</x:v>
      </x:c>
    </x:row>
    <x:row r="9" ht="38" customHeight="1">
      <x:c r="A9" s="2"/>
      <x:c r="B9" s="2"/>
      <x:c r="C9" s="8" t="str">
        <x:v>Alex beneficiary payable</x:v>
      </x:c>
      <x:c r="D9" s="14"/>
      <x:c r="E9" s="20" t="n">
        <x:f>INDEX('Data'!$G$7:$G$11,MATCH("TR-DIST-ALE",'Data'!$A$7:$A$11,0))</x:f>
        <x:v>18000</x:v>
      </x:c>
      <x:c r="F9" s="8" t="str">
        <x:v>TR-DIST-ALE</x:v>
      </x:c>
      <x:c r="G9" s="8" t="str">
        <x:v>Illustrative unpaid allocation</x:v>
      </x:c>
    </x:row>
    <x:row r="10" ht="38" customHeight="1">
      <x:c r="A10" s="2"/>
      <x:c r="B10" s="2"/>
      <x:c r="C10" s="8" t="str">
        <x:v>Sam beneficiary payable</x:v>
      </x:c>
      <x:c r="D10" s="14"/>
      <x:c r="E10" s="20" t="n">
        <x:f>INDEX('Data'!$G$7:$G$11,MATCH("TR-DIST-SAM",'Data'!$A$7:$A$11,0))</x:f>
        <x:v>12000</x:v>
      </x:c>
      <x:c r="F10" s="8" t="str">
        <x:v>TR-DIST-SAM</x:v>
      </x:c>
      <x:c r="G10" s="8" t="str">
        <x:v>Illustrative unpaid allocation</x:v>
      </x:c>
    </x:row>
    <x:row r="11" ht="38" customHeight="1">
      <x:c r="A11" s="2"/>
      <x:c r="B11" s="2"/>
      <x:c r="C11" s="8" t="str">
        <x:v>Settled capital</x:v>
      </x:c>
      <x:c r="D11" s="14"/>
      <x:c r="E11" s="14" t="n">
        <x:v>100</x:v>
      </x:c>
      <x:c r="F11" s="8" t="str">
        <x:v>Synthetic supporting record</x:v>
      </x:c>
      <x:c r="G11" s="8" t="str">
        <x:v>Seeded supporting balance</x:v>
      </x:c>
    </x:row>
    <x:row r="12" ht="38" customHeight="1">
      <x:c r="A12" s="2"/>
      <x:c r="B12" s="2"/>
      <x:c r="C12" s="8" t="str">
        <x:v>Accumulated funds</x:v>
      </x:c>
      <x:c r="D12" s="14"/>
      <x:c r="E12" s="14" t="n">
        <x:v>135900</x:v>
      </x:c>
      <x:c r="F12" s="8" t="str">
        <x:v>Synthetic supporting record</x:v>
      </x:c>
      <x:c r="G12" s="8" t="str">
        <x:v>Seeded supporting balance</x:v>
      </x:c>
    </x:row>
    <x:row r="13" ht="24" customHeight="1">
      <x:c r="A13" s="2"/>
      <x:c r="B13" s="2"/>
      <x:c r="C13" s="2"/>
      <x:c r="D13" s="21"/>
      <x:c r="E13" s="21"/>
      <x:c r="F13" s="2"/>
      <x:c r="G13" s="2"/>
    </x:row>
    <x:row r="14" ht="24" customHeight="1">
      <x:c r="A14" s="2"/>
      <x:c r="B14" s="2"/>
      <x:c r="C14" s="25" t="str">
        <x:v>Closing balance totals</x:v>
      </x:c>
      <x:c r="D14" s="28" t="n">
        <x:f>SUM(D7:D12)</x:f>
        <x:v>166000</x:v>
      </x:c>
      <x:c r="E14" s="28" t="n">
        <x:f>SUM(E7:E12)</x:f>
        <x:v>166000</x:v>
      </x:c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2"/>
      <x:c r="B16" s="2"/>
      <x:c r="C16" s="25" t="str">
        <x:v>Debit less credit difference</x:v>
      </x:c>
      <x:c r="D16" s="25"/>
      <x:c r="E16" s="28" t="n">
        <x:f>D14-E14</x:f>
        <x:v>0</x:v>
      </x:c>
      <x:c r="F16" s="2"/>
      <x:c r="G16" s="2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30" customHeight="1">
      <x:c r="A19" s="2"/>
      <x:c r="B19" s="2"/>
      <x:c r="C19" s="31" t="str">
        <x:v>Supporting equity / funds balances are explicit synthetic inputs. This is an illustrative closing-balance schedule.</x:v>
      </x:c>
      <x:c r="D19" s="2"/>
      <x:c r="E19" s="2"/>
      <x:c r="F19" s="2"/>
      <x:c r="G19" s="2"/>
    </x:row>
    <x:row r="20" ht="30" customHeight="1">
      <x:c r="A20" s="2"/>
      <x:c r="B20" s="2"/>
      <x:c r="C20" s="31" t="str">
        <x:v>The sample omits the income statement, tax adjustments and full financial-report disclosures.</x:v>
      </x:c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25" hidden="0" customWidth="1"/>
    <x:col min="5" max="5" width="23" hidden="0" customWidth="1"/>
    <x:col min="6" max="6" width="27" hidden="0" customWidth="1"/>
    <x:col min="7" max="7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Bank Reconciliation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Family Trust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Reconciliation item</x:v>
      </x:c>
      <x:c r="D6" s="12" t="str">
        <x:v>Basis</x:v>
      </x:c>
      <x:c r="E6" s="12" t="str">
        <x:v>Amount AUD</x:v>
      </x:c>
      <x:c r="F6" s="12" t="str">
        <x:v>Evidence reference</x:v>
      </x:c>
      <x:c r="G6" s="12" t="str">
        <x:v>Context</x:v>
      </x:c>
    </x:row>
    <x:row r="7" ht="40" customHeight="1">
      <x:c r="A7" s="2"/>
      <x:c r="B7" s="2"/>
      <x:c r="C7" s="8" t="str">
        <x:v>Statement closing balance</x:v>
      </x:c>
      <x:c r="D7" s="8" t="str">
        <x:v>Statement</x:v>
      </x:c>
      <x:c r="E7" s="14" t="n">
        <x:v>15000</x:v>
      </x:c>
      <x:c r="F7" s="8" t="str">
        <x:v>FY25-TR-BANK</x:v>
      </x:c>
      <x:c r="G7" s="8" t="str">
        <x:v>30 June 2025; fictional bank</x:v>
      </x:c>
    </x:row>
    <x:row r="8" ht="40" customHeight="1">
      <x:c r="A8" s="2"/>
      <x:c r="B8" s="2"/>
      <x:c r="C8" s="8" t="str">
        <x:v>Deposit in transit</x:v>
      </x:c>
      <x:c r="D8" s="8" t="str">
        <x:v>Add</x:v>
      </x:c>
      <x:c r="E8" s="14" t="n">
        <x:v>2000</x:v>
      </x:c>
      <x:c r="F8" s="8" t="str">
        <x:v>Synthetic reconciling item</x:v>
      </x:c>
      <x:c r="G8" s="8" t="str">
        <x:v>Not on statement at 30 June</x:v>
      </x:c>
    </x:row>
    <x:row r="9" ht="40" customHeight="1">
      <x:c r="A9" s="2"/>
      <x:c r="B9" s="2"/>
      <x:c r="C9" s="8" t="str">
        <x:v>Outstanding payments</x:v>
      </x:c>
      <x:c r="D9" s="8" t="str">
        <x:v>Less</x:v>
      </x:c>
      <x:c r="E9" s="14" t="n">
        <x:v>-1000</x:v>
      </x:c>
      <x:c r="F9" s="8" t="str">
        <x:v>Synthetic reconciling item</x:v>
      </x:c>
      <x:c r="G9" s="8" t="str">
        <x:v>Not on statement at 30 June</x:v>
      </x:c>
    </x:row>
    <x:row r="10" ht="24" customHeight="1">
      <x:c r="A10" s="2"/>
      <x:c r="B10" s="2"/>
      <x:c r="C10" s="2"/>
      <x:c r="D10" s="2"/>
      <x:c r="E10" s="21"/>
      <x:c r="F10" s="2"/>
      <x:c r="G10" s="2"/>
    </x:row>
    <x:row r="11" ht="24" customHeight="1">
      <x:c r="A11" s="2"/>
      <x:c r="B11" s="2"/>
      <x:c r="C11" s="25" t="str">
        <x:v>Adjusted statement balance</x:v>
      </x:c>
      <x:c r="D11" s="25"/>
      <x:c r="E11" s="28" t="n">
        <x:f>SUM(E7:E9)</x:f>
        <x:v>16000</x:v>
      </x:c>
      <x:c r="F11" s="2"/>
      <x:c r="G11" s="2"/>
    </x:row>
    <x:row r="12" ht="24" customHeight="1">
      <x:c r="A12" s="2"/>
      <x:c r="B12" s="2"/>
      <x:c r="C12" s="2"/>
      <x:c r="D12" s="2"/>
      <x:c r="E12" s="21"/>
      <x:c r="F12" s="2"/>
      <x:c r="G12" s="2"/>
    </x:row>
    <x:row r="13" ht="24" customHeight="1">
      <x:c r="A13" s="2"/>
      <x:c r="B13" s="2"/>
      <x:c r="C13" s="2" t="str">
        <x:v>Book closing balance</x:v>
      </x:c>
      <x:c r="D13" s="2"/>
      <x:c r="E13" s="34" t="n">
        <x:f>INDEX('Data'!$G$7:$G$11,MATCH("TR-BANK",'Data'!$A$7:$A$11,0))</x:f>
        <x:v>16000</x:v>
      </x:c>
      <x:c r="F13" s="2"/>
      <x:c r="G13" s="2"/>
    </x:row>
    <x:row r="14" ht="24" customHeight="1">
      <x:c r="A14" s="2"/>
      <x:c r="B14" s="2"/>
      <x:c r="C14" s="2"/>
      <x:c r="D14" s="2"/>
      <x:c r="E14" s="21"/>
      <x:c r="F14" s="2"/>
      <x:c r="G14" s="2"/>
    </x:row>
    <x:row r="15" ht="24" customHeight="1">
      <x:c r="A15" s="2"/>
      <x:c r="B15" s="2"/>
      <x:c r="C15" s="25" t="str">
        <x:v>Statement-to-book difference</x:v>
      </x:c>
      <x:c r="D15" s="25"/>
      <x:c r="E15" s="28" t="n">
        <x:f>E11-E13</x:f>
        <x:v>0</x:v>
      </x:c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6" customHeight="1">
      <x:c r="A19" s="2"/>
      <x:c r="B19" s="2"/>
      <x:c r="C19" s="10" t="str">
        <x:v>Reconciliation scope</x:v>
      </x:c>
      <x:c r="D19" s="10"/>
      <x:c r="E19" s="10"/>
      <x:c r="F19" s="10"/>
      <x:c r="G19" s="10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30" customHeight="1">
      <x:c r="A21" s="2"/>
      <x:c r="B21" s="2"/>
      <x:c r="C21" s="31" t="str">
        <x:v>The statement and reconciling items are seeded test inputs. No bank feed or genuine account is represented.</x:v>
      </x:c>
      <x:c r="D21" s="2"/>
      <x:c r="E21" s="2"/>
      <x:c r="F21" s="2"/>
      <x:c r="G21" s="2"/>
    </x:row>
    <x:row r="22" ht="30" customHeight="1">
      <x:c r="A22" s="2"/>
      <x:c r="B22" s="2"/>
      <x:c r="C22" s="31" t="str">
        <x:v>Confirm outstanding items against subsequent transactions when real evidence is supplied.</x:v>
      </x:c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7" hidden="0" customWidth="1"/>
    <x:col min="5" max="5" width="25" hidden="0" customWidth="1"/>
    <x:col min="6" max="6" width="30" hidden="0" customWidth="1"/>
    <x:col min="7" max="7" width="3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Investments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Family Trust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Fictional holding</x:v>
      </x:c>
      <x:c r="D6" s="12" t="str">
        <x:v>Carrying basis</x:v>
      </x:c>
      <x:c r="E6" s="12" t="str">
        <x:v>Carrying amount AUD</x:v>
      </x:c>
      <x:c r="F6" s="12" t="str">
        <x:v>Evidence reference</x:v>
      </x:c>
      <x:c r="G6" s="12" t="str">
        <x:v>Valuation context</x:v>
      </x:c>
    </x:row>
    <x:row r="7" ht="44" customHeight="1">
      <x:c r="A7" s="2"/>
      <x:c r="B7" s="2"/>
      <x:c r="C7" s="8" t="str">
        <x:v>Southern Index Fund units</x:v>
      </x:c>
      <x:c r="D7" s="8" t="str">
        <x:v>Seeded cost</x:v>
      </x:c>
      <x:c r="E7" s="14" t="n">
        <x:v>100000</x:v>
      </x:c>
      <x:c r="F7" s="8" t="str">
        <x:v>FY25-TR-INVEST</x:v>
      </x:c>
      <x:c r="G7" s="8" t="str">
        <x:v>No market price supplied</x:v>
      </x:c>
    </x:row>
    <x:row r="8" ht="44" customHeight="1">
      <x:c r="A8" s="2"/>
      <x:c r="B8" s="2"/>
      <x:c r="C8" s="8" t="str">
        <x:v>Wattle Industries shares</x:v>
      </x:c>
      <x:c r="D8" s="8" t="str">
        <x:v>Seeded cost</x:v>
      </x:c>
      <x:c r="E8" s="14" t="n">
        <x:v>50000</x:v>
      </x:c>
      <x:c r="F8" s="8" t="str">
        <x:v>FY25-TR-INVEST</x:v>
      </x:c>
      <x:c r="G8" s="8" t="str">
        <x:v>No tax cost-base conclusion</x:v>
      </x:c>
    </x:row>
    <x:row r="9" ht="24" customHeight="1">
      <x:c r="A9" s="2"/>
      <x:c r="B9" s="2"/>
      <x:c r="C9" s="2"/>
      <x:c r="D9" s="2"/>
      <x:c r="E9" s="21"/>
      <x:c r="F9" s="2"/>
      <x:c r="G9" s="2"/>
    </x:row>
    <x:row r="10" ht="24" customHeight="1">
      <x:c r="A10" s="2"/>
      <x:c r="B10" s="2"/>
      <x:c r="C10" s="25" t="str">
        <x:v>Investment carrying amount</x:v>
      </x:c>
      <x:c r="D10" s="25"/>
      <x:c r="E10" s="28" t="n">
        <x:f>SUM(E7:E8)</x:f>
        <x:v>150000</x:v>
      </x:c>
      <x:c r="F10" s="2"/>
      <x:c r="G10" s="2"/>
    </x:row>
    <x:row r="11" ht="24" customHeight="1">
      <x:c r="A11" s="2"/>
      <x:c r="B11" s="2"/>
      <x:c r="C11" s="2"/>
      <x:c r="D11" s="2"/>
      <x:c r="E11" s="21"/>
      <x:c r="F11" s="2"/>
      <x:c r="G11" s="2"/>
    </x:row>
    <x:row r="12" ht="24" customHeight="1">
      <x:c r="A12" s="2"/>
      <x:c r="B12" s="2"/>
      <x:c r="C12" s="2"/>
      <x:c r="D12" s="2"/>
      <x:c r="E12" s="21"/>
      <x:c r="F12" s="2"/>
      <x:c r="G12" s="2"/>
    </x:row>
    <x:row r="13" ht="24" customHeight="1">
      <x:c r="A13" s="2"/>
      <x:c r="B13" s="2"/>
      <x:c r="C13" s="25" t="str">
        <x:v>Difference to control balance</x:v>
      </x:c>
      <x:c r="D13" s="25"/>
      <x:c r="E13" s="36" t="n">
        <x:f>E10-INDEX('Data'!$G$7:$G$11,MATCH("TR-INVEST",'Data'!$A$7:$A$11,0))</x:f>
        <x:v>0</x:v>
      </x:c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6" customHeight="1">
      <x:c r="A17" s="2"/>
      <x:c r="B17" s="2"/>
      <x:c r="C17" s="10" t="str">
        <x:v>Current-year evidence</x:v>
      </x:c>
      <x:c r="D17" s="10"/>
      <x:c r="E17" s="10"/>
      <x:c r="F17" s="10"/>
      <x:c r="G17" s="10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30" customHeight="1">
      <x:c r="A19" s="2"/>
      <x:c r="B19" s="2"/>
      <x:c r="C19" s="31" t="str">
        <x:v>Obtain holding statements, purchases, sales and income statements. Keep valuation and tax basis distinct.</x:v>
      </x:c>
      <x:c r="D19" s="2"/>
      <x:c r="E19" s="2"/>
      <x:c r="F19" s="2"/>
      <x:c r="G19" s="2"/>
    </x:row>
    <x:row r="20" ht="30" customHeight="1">
      <x:c r="A20" s="2"/>
      <x:c r="B20" s="2"/>
      <x:c r="C20" s="31" t="str">
        <x:v>This schedule does not calculate capital gains, distributions or market movements.</x:v>
      </x:c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24" hidden="0" customWidth="1"/>
    <x:col min="5" max="5" width="23" hidden="0" customWidth="1"/>
    <x:col min="6" max="6" width="23" hidden="0" customWidth="1"/>
    <x:col min="7" max="7" width="27" hidden="0" customWidth="1"/>
    <x:col min="8" max="8" width="3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2"/>
      <x:c r="C2" s="4" t="str">
        <x:v>Beneficiaries</x:v>
      </x:c>
      <x:c r="D2" s="4"/>
      <x:c r="E2" s="4"/>
      <x:c r="F2" s="4"/>
      <x:c r="G2" s="4"/>
      <x:c r="H2" s="4"/>
    </x:row>
    <x:row r="3" ht="24" customHeight="1">
      <x:c r="A3" s="2"/>
      <x:c r="B3" s="2"/>
      <x:c r="C3" s="5" t="str">
        <x:v>Taylor Family Trust · FY25 · 1 July 2024 to 30 June 2025 · AUD · Synthetic</x:v>
      </x:c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2"/>
      <x:c r="B6" s="2"/>
      <x:c r="C6" s="12" t="str">
        <x:v>Line / source</x:v>
      </x:c>
      <x:c r="D6" s="12" t="str">
        <x:v>Component</x:v>
      </x:c>
      <x:c r="E6" s="12" t="str">
        <x:v>Baseline AUD</x:v>
      </x:c>
      <x:c r="F6" s="12" t="str">
        <x:v>Evidence AUD</x:v>
      </x:c>
      <x:c r="G6" s="12" t="str">
        <x:v>Difference AUD</x:v>
      </x:c>
      <x:c r="H6" s="12" t="str">
        <x:v>Evidence ID</x:v>
      </x:c>
    </x:row>
    <x:row r="7" ht="40" customHeight="1">
      <x:c r="A7" s="2"/>
      <x:c r="B7" s="2"/>
      <x:c r="C7" s="8" t="str">
        <x:v>Alex Taylor ordinary-income allocation</x:v>
      </x:c>
      <x:c r="D7" s="8" t="str">
        <x:v>ordinary_income</x:v>
      </x:c>
      <x:c r="E7" s="20" t="n">
        <x:f>INDEX('Data'!$G$7:$G$11,MATCH("TR-DIST-ALE",'Data'!$A$7:$A$11,0))</x:f>
        <x:v>18000</x:v>
      </x:c>
      <x:c r="F7" s="20" t="n">
        <x:f>SUMIF('Evidence'!$B$7:$B$11,"TR-DIST-ALE",'Evidence'!$H$7:$H$11)</x:f>
        <x:v>18000</x:v>
      </x:c>
      <x:c r="G7" s="39" t="n">
        <x:f>E7-F7</x:f>
        <x:v>0</x:v>
      </x:c>
      <x:c r="H7" s="8" t="str">
        <x:v>FY25-TR-DIST</x:v>
      </x:c>
    </x:row>
    <x:row r="8" ht="40" customHeight="1">
      <x:c r="A8" s="2"/>
      <x:c r="B8" s="2"/>
      <x:c r="C8" s="8" t="str">
        <x:v>Sam Taylor ordinary-income allocation</x:v>
      </x:c>
      <x:c r="D8" s="8" t="str">
        <x:v>ordinary_income</x:v>
      </x:c>
      <x:c r="E8" s="20" t="n">
        <x:f>INDEX('Data'!$G$7:$G$11,MATCH("TR-DIST-SAM",'Data'!$A$7:$A$11,0))</x:f>
        <x:v>12000</x:v>
      </x:c>
      <x:c r="F8" s="20" t="n">
        <x:f>SUMIF('Evidence'!$B$7:$B$11,"TR-DIST-SAM",'Evidence'!$H$7:$H$11)</x:f>
        <x:v>12000</x:v>
      </x:c>
      <x:c r="G8" s="39" t="n">
        <x:f>E8-F8</x:f>
        <x:v>0</x:v>
      </x:c>
      <x:c r="H8" s="8" t="str">
        <x:v>FY25-TR-DIST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5" t="str">
        <x:v>Ordinary-income allocations</x:v>
      </x:c>
      <x:c r="D11" s="25"/>
      <x:c r="E11" s="28" t="n">
        <x:f>SUM(E7:E8)</x:f>
        <x:v>30000</x:v>
      </x:c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 t="str">
        <x:v>Synthetic ordinary-income pool</x:v>
      </x:c>
      <x:c r="D13" s="2"/>
      <x:c r="E13" s="21" t="n">
        <x:v>30000</x:v>
      </x:c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5" t="str">
        <x:v>Unallocated pool difference</x:v>
      </x:c>
      <x:c r="D15" s="25"/>
      <x:c r="E15" s="28" t="n">
        <x:f>E13-E11</x:f>
        <x:v>0</x:v>
      </x:c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6" customHeight="1">
      <x:c r="A19" s="2"/>
      <x:c r="B19" s="2"/>
      <x:c r="C19" s="10" t="str">
        <x:v>Matching individual workpapers</x:v>
      </x:c>
      <x:c r="D19" s="10"/>
      <x:c r="E19" s="10"/>
      <x:c r="F19" s="10"/>
      <x:c r="G19" s="10"/>
      <x:c r="H19" s="10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 t="str">
        <x:v>Alex Taylor</x:v>
      </x:c>
      <x:c r="D21" s="2" t="str">
        <x:v>ALE-TRUST</x:v>
      </x:c>
      <x:c r="E21" s="2" t="str">
        <x:v>Ordinary income</x:v>
      </x:c>
      <x:c r="F21" s="2"/>
      <x:c r="G21" s="2"/>
      <x:c r="H21" s="2"/>
    </x:row>
    <x:row r="22" ht="24" customHeight="1">
      <x:c r="A22" s="2"/>
      <x:c r="B22" s="2"/>
      <x:c r="C22" s="2" t="str">
        <x:v>Sam Taylor</x:v>
      </x:c>
      <x:c r="D22" s="2" t="str">
        <x:v>SAM-TRUST</x:v>
      </x:c>
      <x:c r="E22" s="2" t="str">
        <x:v>Ordinary income</x:v>
      </x:c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30" customHeight="1">
      <x:c r="A24" s="2"/>
      <x:c r="B24" s="2"/>
      <x:c r="C24" s="31" t="str">
        <x:v>The family pack checks both individual amounts against these lines. No external workbook link is used.</x:v>
      </x:c>
      <x:c r="D24" s="2"/>
      <x:c r="E24" s="2"/>
      <x:c r="F24" s="2"/>
      <x:c r="G24" s="2"/>
      <x:c r="H24" s="2"/>
    </x:row>
    <x:row r="25" ht="30" customHeight="1">
      <x:c r="A25" s="2"/>
      <x:c r="B25" s="2"/>
      <x:c r="C25" s="31" t="str">
        <x:v>The allocation record is fictional and does not establish legal entitlement or approve a distribution.</x:v>
      </x:c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35" hidden="0" customWidth="1"/>
    <x:col min="5" max="5" width="83" hidden="0" customWidth="1"/>
    <x:col min="6" max="6" width="26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2"/>
      <x:c r="B2" s="2"/>
      <x:c r="C2" s="4" t="str">
        <x:v>Trust Documents</x:v>
      </x:c>
      <x:c r="D2" s="4"/>
      <x:c r="E2" s="4"/>
      <x:c r="F2" s="4"/>
    </x:row>
    <x:row r="3" ht="24" customHeight="1">
      <x:c r="A3" s="2"/>
      <x:c r="B3" s="2"/>
      <x:c r="C3" s="5" t="str">
        <x:v>Taylor Family Trust · FY25 · 1 July 2024 to 30 June 2025 · AUD · Synthetic</x:v>
      </x:c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2"/>
      <x:c r="B6" s="2"/>
      <x:c r="C6" s="12" t="str">
        <x:v>Document / record</x:v>
      </x:c>
      <x:c r="D6" s="12" t="str">
        <x:v>Availability in fixture</x:v>
      </x:c>
      <x:c r="E6" s="12" t="str">
        <x:v>Adviser enquiry</x:v>
      </x:c>
      <x:c r="F6" s="12" t="str">
        <x:v>Evidence reference</x:v>
      </x:c>
    </x:row>
    <x:row r="7" ht="60" customHeight="1">
      <x:c r="A7" s="2"/>
      <x:c r="B7" s="2"/>
      <x:c r="C7" s="8" t="str">
        <x:v>Document checklist</x:v>
      </x:c>
      <x:c r="D7" s="8" t="str">
        <x:v>Synthetic record held</x:v>
      </x:c>
      <x:c r="E7" s="8" t="str">
        <x:v>This checklist documents what the demonstration contains.</x:v>
      </x:c>
      <x:c r="F7" s="8" t="str">
        <x:v>FY25-TR-DOC</x:v>
      </x:c>
    </x:row>
    <x:row r="8" ht="60" customHeight="1">
      <x:c r="A8" s="2"/>
      <x:c r="B8" s="2"/>
      <x:c r="C8" s="8" t="str">
        <x:v>Ordinary-income allocation record</x:v>
      </x:c>
      <x:c r="D8" s="8" t="str">
        <x:v>Synthetic record held</x:v>
      </x:c>
      <x:c r="E8" s="8" t="str">
        <x:v>Reconcile the two allocations with the full beneficiary statements.</x:v>
      </x:c>
      <x:c r="F8" s="8" t="str">
        <x:v>FY25-TR-DIST</x:v>
      </x:c>
    </x:row>
    <x:row r="9" ht="60" customHeight="1">
      <x:c r="A9" s="2"/>
      <x:c r="B9" s="2"/>
      <x:c r="C9" s="8" t="str">
        <x:v>Executed trust deed and amendments</x:v>
      </x:c>
      <x:c r="D9" s="8" t="str">
        <x:v>Not supplied</x:v>
      </x:c>
      <x:c r="E9" s="8" t="str">
        <x:v>Obtain executed documents and confirm current trustee details.</x:v>
      </x:c>
      <x:c r="F9" s="8" t="str">
        <x:v>No original document</x:v>
      </x:c>
    </x:row>
    <x:row r="10" ht="60" customHeight="1">
      <x:c r="A10" s="2"/>
      <x:c r="B10" s="2"/>
      <x:c r="C10" s="8" t="str">
        <x:v>Signed distribution resolution</x:v>
      </x:c>
      <x:c r="D10" s="8" t="str">
        <x:v>Not supplied</x:v>
      </x:c>
      <x:c r="E10" s="8" t="str">
        <x:v>Obtain the executed current-year record and assess its validity.</x:v>
      </x:c>
      <x:c r="F10" s="8" t="str">
        <x:v>No original document</x:v>
      </x:c>
    </x:row>
    <x:row r="11" ht="24" customHeight="1">
      <x:c r="A11" s="2"/>
      <x:c r="B11" s="2"/>
      <x:c r="C11" s="2"/>
      <x:c r="D11" s="2"/>
      <x:c r="E11" s="2"/>
      <x:c r="F11" s="2"/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6" customHeight="1">
      <x:c r="A14" s="2"/>
      <x:c r="B14" s="2"/>
      <x:c r="C14" s="10" t="str">
        <x:v>Document amount</x:v>
      </x:c>
      <x:c r="D14" s="10"/>
      <x:c r="E14" s="10"/>
      <x:c r="F14" s="10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/>
      <x:c r="B16" s="2"/>
      <x:c r="C16" s="2" t="str">
        <x:v>TR-DOC amount</x:v>
      </x:c>
      <x:c r="D16" s="2" t="str">
        <x:v>Intentionally blank</x:v>
      </x:c>
      <x:c r="E16" s="2"/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0" customHeight="1">
      <x:c r="A18" s="2"/>
      <x:c r="B18" s="2"/>
      <x:c r="C18" s="31" t="str">
        <x:v>A document requirement has no monetary amount. Blank is not zero.</x:v>
      </x:c>
      <x:c r="D18" s="2"/>
      <x:c r="E18" s="2"/>
      <x:c r="F18" s="2"/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6" customHeight="1">
      <x:c r="A21" s="2"/>
      <x:c r="B21" s="2"/>
      <x:c r="C21" s="10" t="str">
        <x:v>Limitations</x:v>
      </x:c>
      <x:c r="D21" s="10"/>
      <x:c r="E21" s="10"/>
      <x:c r="F21" s="10"/>
    </x:row>
    <x:row r="22" ht="24" customHeight="1">
      <x:c r="A22" s="2"/>
      <x:c r="B22" s="2"/>
      <x:c r="C22" s="2"/>
      <x:c r="D22" s="2"/>
      <x:c r="E22" s="2"/>
      <x:c r="F22" s="2"/>
    </x:row>
    <x:row r="23" ht="30" customHeight="1">
      <x:c r="A23" s="2"/>
      <x:c r="B23" s="2"/>
      <x:c r="C23" s="31" t="str">
        <x:v>No deed, signature, trustee identity or legal approval is fabricated by this workbook.</x:v>
      </x:c>
      <x:c r="D23" s="2"/>
      <x:c r="E23" s="2"/>
      <x:c r="F23" s="2"/>
    </x:row>
    <x:row r="24" ht="30" customHeight="1">
      <x:c r="A24" s="2"/>
      <x:c r="B24" s="2"/>
      <x:c r="C24" s="31" t="str">
        <x:v>The synthetic baseline status does not resolve missing executed documents.</x:v>
      </x:c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7" hidden="0" customWidth="1"/>
    <x:col min="4" max="4" width="16" hidden="0" customWidth="1"/>
    <x:col min="5" max="5" width="24" hidden="0" customWidth="1"/>
    <x:col min="6" max="6" width="13" hidden="0" customWidth="1"/>
    <x:col min="7" max="7" width="23" hidden="0" customWidth="1"/>
    <x:col min="8" max="8" width="19" hidden="0" customWidth="1"/>
    <x:col min="9" max="9" width="91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4" t="str">
        <x:v>Synthetic evidence index</x:v>
      </x:c>
      <x:c r="B2" s="4"/>
      <x:c r="C2" s="4"/>
      <x:c r="D2" s="4"/>
      <x:c r="E2" s="4"/>
      <x:c r="F2" s="4"/>
      <x:c r="G2" s="4"/>
      <x:c r="H2" s="4"/>
      <x:c r="I2" s="4"/>
    </x:row>
    <x:row r="3" ht="32" customHeight="1">
      <x:c r="A3" s="5" t="str">
        <x:v>Taylor Family Trust · FY25 · Structured test records; no genuine issuer statements</x:v>
      </x:c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2" t="str">
        <x:v>document_id</x:v>
      </x:c>
      <x:c r="B6" s="12" t="str">
        <x:v>line_id</x:v>
      </x:c>
      <x:c r="C6" s="12" t="str">
        <x:v>entity_id</x:v>
      </x:c>
      <x:c r="D6" s="12" t="str">
        <x:v>financial_year</x:v>
      </x:c>
      <x:c r="E6" s="12" t="str">
        <x:v>component</x:v>
      </x:c>
      <x:c r="F6" s="12" t="str">
        <x:v>currency</x:v>
      </x:c>
      <x:c r="G6" s="12" t="str">
        <x:v>basis</x:v>
      </x:c>
      <x:c r="H6" s="12" t="str">
        <x:v>amount</x:v>
      </x:c>
      <x:c r="I6" s="12" t="str">
        <x:v>description</x:v>
      </x:c>
    </x:row>
    <x:row r="7" ht="72" customHeight="1">
      <x:c r="A7" s="8" t="str">
        <x:v>FY25-TR-BANK</x:v>
      </x:c>
      <x:c r="B7" s="8" t="str">
        <x:v>TR-BANK</x:v>
      </x:c>
      <x:c r="C7" s="8" t="str">
        <x:v>taylor-family-trust</x:v>
      </x:c>
      <x:c r="D7" s="15" t="n">
        <x:v>2025</x:v>
      </x:c>
      <x:c r="E7" s="8" t="str">
        <x:v>closing_balance</x:v>
      </x:c>
      <x:c r="F7" s="8" t="str">
        <x:v>AUD</x:v>
      </x:c>
      <x:c r="G7" s="8" t="str">
        <x:v>closing_balance</x:v>
      </x:c>
      <x:c r="H7" s="14" t="n">
        <x:v>16000</x:v>
      </x:c>
      <x:c r="I7" s="8" t="str">
        <x:v>Synthetic reconciliation: statement balance 15000 plus deposit 2000 less outstanding payment 1000 equals book balance 16000.</x:v>
      </x:c>
    </x:row>
    <x:row r="8" ht="72" customHeight="1">
      <x:c r="A8" s="8" t="str">
        <x:v>FY25-TR-INVEST</x:v>
      </x:c>
      <x:c r="B8" s="8" t="str">
        <x:v>TR-INVEST</x:v>
      </x:c>
      <x:c r="C8" s="8" t="str">
        <x:v>taylor-family-trust</x:v>
      </x:c>
      <x:c r="D8" s="15" t="n">
        <x:v>2025</x:v>
      </x:c>
      <x:c r="E8" s="8" t="str">
        <x:v>closing_balance</x:v>
      </x:c>
      <x:c r="F8" s="8" t="str">
        <x:v>AUD</x:v>
      </x:c>
      <x:c r="G8" s="8" t="str">
        <x:v>closing_balance</x:v>
      </x:c>
      <x:c r="H8" s="14" t="n">
        <x:v>150000</x:v>
      </x:c>
      <x:c r="I8" s="8" t="str">
        <x:v>Synthetic investment register: illustrative cost carrying amounts 100000 and 50000. No current market valuation or tax cost-base conclusion.</x:v>
      </x:c>
    </x:row>
    <x:row r="9" ht="72" customHeight="1">
      <x:c r="A9" s="8" t="str">
        <x:v>FY25-TR-DIST</x:v>
      </x:c>
      <x:c r="B9" s="8" t="str">
        <x:v>TR-DIST-ALE</x:v>
      </x:c>
      <x:c r="C9" s="8" t="str">
        <x:v>taylor-family-trust</x:v>
      </x:c>
      <x:c r="D9" s="15" t="n">
        <x:v>2025</x:v>
      </x:c>
      <x:c r="E9" s="8" t="str">
        <x:v>ordinary_income</x:v>
      </x:c>
      <x:c r="F9" s="8" t="str">
        <x:v>AUD</x:v>
      </x:c>
      <x:c r="G9" s="8" t="str">
        <x:v>gross</x:v>
      </x:c>
      <x:c r="H9" s="14" t="n">
        <x:v>18000</x:v>
      </x:c>
      <x:c r="I9" s="8" t="str">
        <x:v>Synthetic adviser allocation record: Alex ordinary-income allocation 18000. No executed resolution or approval represented.</x:v>
      </x:c>
    </x:row>
    <x:row r="10" ht="72" customHeight="1">
      <x:c r="A10" s="8" t="str">
        <x:v>FY25-TR-DIST</x:v>
      </x:c>
      <x:c r="B10" s="8" t="str">
        <x:v>TR-DIST-SAM</x:v>
      </x:c>
      <x:c r="C10" s="8" t="str">
        <x:v>taylor-family-trust</x:v>
      </x:c>
      <x:c r="D10" s="15" t="n">
        <x:v>2025</x:v>
      </x:c>
      <x:c r="E10" s="8" t="str">
        <x:v>ordinary_income</x:v>
      </x:c>
      <x:c r="F10" s="8" t="str">
        <x:v>AUD</x:v>
      </x:c>
      <x:c r="G10" s="8" t="str">
        <x:v>gross</x:v>
      </x:c>
      <x:c r="H10" s="14" t="n">
        <x:v>12000</x:v>
      </x:c>
      <x:c r="I10" s="8" t="str">
        <x:v>Synthetic adviser allocation record: Sam ordinary-income allocation 12000. No executed resolution or approval represented.</x:v>
      </x:c>
    </x:row>
    <x:row r="11" ht="72" customHeight="1">
      <x:c r="A11" s="8" t="str">
        <x:v>FY25-TR-DOC</x:v>
      </x:c>
      <x:c r="B11" s="8" t="str">
        <x:v>TR-DOC</x:v>
      </x:c>
      <x:c r="C11" s="8" t="str">
        <x:v>taylor-family-trust</x:v>
      </x:c>
      <x:c r="D11" s="15" t="n">
        <x:v>2025</x:v>
      </x:c>
      <x:c r="E11" s="8" t="str">
        <x:v>document</x:v>
      </x:c>
      <x:c r="F11" s="8" t="str">
        <x:v>AUD</x:v>
      </x:c>
      <x:c r="G11" s="8" t="str">
        <x:v>document</x:v>
      </x:c>
      <x:c r="H11" s="14"/>
      <x:c r="I11" s="8" t="str">
        <x:v>Synthetic document checklist record only. Executed trust deed and signed distribution resolution are not supplied. Amount intentionally blank.</x:v>
      </x:c>
    </x:row>
    <x:row r="12" ht="3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2" customHeight="1">
      <x:c r="A14" s="2" t="str">
        <x:v>One document may support separate components. Match line, entity, period, component, currency and basis before comparing.</x:v>
      </x:c>
      <x:c r="B14" s="2"/>
      <x:c r="C14" s="2"/>
      <x:c r="D14" s="2"/>
      <x:c r="E14" s="2"/>
      <x:c r="F14" s="2"/>
      <x:c r="G14" s="2"/>
      <x:c r="H14" s="2"/>
      <x:c r="I14" s="2"/>
    </x:row>
    <x:row r="15" ht="3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32" customHeight="1">
      <x:c r="A16" s="2"/>
      <x:c r="B16" s="2"/>
      <x:c r="C16" s="2"/>
      <x:c r="D16" s="2"/>
      <x:c r="E16" s="2"/>
      <x:c r="F16" s="2"/>
      <x:c r="G16" s="2"/>
      <x:c r="H16" s="2"/>
      <x:c r="I16" s="2"/>
    </x:row>
  </x:sheetData>
  <x:pageMargins left="0.7" right="0.7" top="0.75" bottom="0.75" header="0.3" footer="0.3"/>
  <x:tableParts count="1">
    <x:tablePart xmlns:r="http://schemas.openxmlformats.org/officeDocument/2006/relationships" r:id="R4d209fc820af446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22" hidden="0" customWidth="1"/>
    <x:col min="5" max="5" width="39" hidden="0" customWidth="1"/>
    <x:col min="6" max="6" width="24" hidden="0" customWidth="1"/>
    <x:col min="7" max="7" width="17" hidden="0" customWidth="1"/>
    <x:col min="8" max="8" width="13" hidden="0" customWidth="1"/>
    <x:col min="9" max="9" width="23" hidden="0" customWidth="1"/>
    <x:col min="10" max="10" width="24" hidden="0" customWidth="1"/>
    <x:col min="11" max="11" width="16" hidden="0" customWidth="1"/>
    <x:col min="12" max="12" width="75" hidden="0" customWidth="1"/>
  </x:cols>
  <x:sheetData>
    <x:row r="1" ht="4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4" t="str">
        <x:v>FY25 import lines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42" customHeight="1">
      <x:c r="A3" s="5" t="str">
        <x:v>Taylor Family Trust · Synthetic · Named table Peregrine_Lines · Numeric amounts only; no formulas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2" t="str">
        <x:v>line_id</x:v>
      </x:c>
      <x:c r="B6" s="12" t="str">
        <x:v>entity_id</x:v>
      </x:c>
      <x:c r="C6" s="12" t="str">
        <x:v>financial_year</x:v>
      </x:c>
      <x:c r="D6" s="12" t="str">
        <x:v>category</x:v>
      </x:c>
      <x:c r="E6" s="12" t="str">
        <x:v>label</x:v>
      </x:c>
      <x:c r="F6" s="12" t="str">
        <x:v>component</x:v>
      </x:c>
      <x:c r="G6" s="12" t="str">
        <x:v>amount</x:v>
      </x:c>
      <x:c r="H6" s="12" t="str">
        <x:v>currency</x:v>
      </x:c>
      <x:c r="I6" s="12" t="str">
        <x:v>basis</x:v>
      </x:c>
      <x:c r="J6" s="12" t="str">
        <x:v>source_ref</x:v>
      </x:c>
      <x:c r="K6" s="12" t="str">
        <x:v>recurrence</x:v>
      </x:c>
      <x:c r="L6" s="12" t="str">
        <x:v>request_text</x:v>
      </x:c>
    </x:row>
    <x:row r="7" ht="64" customHeight="1">
      <x:c r="A7" s="8" t="str">
        <x:v>TR-BANK</x:v>
      </x:c>
      <x:c r="B7" s="8" t="str">
        <x:v>taylor-family-trust</x:v>
      </x:c>
      <x:c r="C7" s="15" t="n">
        <x:v>2025</x:v>
      </x:c>
      <x:c r="D7" s="8" t="str">
        <x:v>bank</x:v>
      </x:c>
      <x:c r="E7" s="8" t="str">
        <x:v>Reconciled bank balance</x:v>
      </x:c>
      <x:c r="F7" s="8" t="str">
        <x:v>closing_balance</x:v>
      </x:c>
      <x:c r="G7" s="14" t="n">
        <x:v>16000</x:v>
      </x:c>
      <x:c r="H7" s="8" t="str">
        <x:v>AUD</x:v>
      </x:c>
      <x:c r="I7" s="8" t="str">
        <x:v>closing_balance</x:v>
      </x:c>
      <x:c r="J7" s="8" t="str">
        <x:v>FY25-TR-BANK</x:v>
      </x:c>
      <x:c r="K7" s="8" t="str">
        <x:v>annual</x:v>
      </x:c>
      <x:c r="L7" s="8" t="str">
        <x:v>Provide the 30 June trust bank statement and reconciliation for the current year.</x:v>
      </x:c>
    </x:row>
    <x:row r="8" ht="64" customHeight="1">
      <x:c r="A8" s="8" t="str">
        <x:v>TR-INVEST</x:v>
      </x:c>
      <x:c r="B8" s="8" t="str">
        <x:v>taylor-family-trust</x:v>
      </x:c>
      <x:c r="C8" s="15" t="n">
        <x:v>2025</x:v>
      </x:c>
      <x:c r="D8" s="8" t="str">
        <x:v>investments</x:v>
      </x:c>
      <x:c r="E8" s="8" t="str">
        <x:v>Investment carrying amount</x:v>
      </x:c>
      <x:c r="F8" s="8" t="str">
        <x:v>closing_balance</x:v>
      </x:c>
      <x:c r="G8" s="14" t="n">
        <x:v>150000</x:v>
      </x:c>
      <x:c r="H8" s="8" t="str">
        <x:v>AUD</x:v>
      </x:c>
      <x:c r="I8" s="8" t="str">
        <x:v>closing_balance</x:v>
      </x:c>
      <x:c r="J8" s="8" t="str">
        <x:v>FY25-TR-INVEST</x:v>
      </x:c>
      <x:c r="K8" s="8" t="str">
        <x:v>annual</x:v>
      </x:c>
      <x:c r="L8" s="8" t="str">
        <x:v>Provide the current-year investment statements and acquisition or disposal records.</x:v>
      </x:c>
    </x:row>
    <x:row r="9" ht="64" customHeight="1">
      <x:c r="A9" s="8" t="str">
        <x:v>TR-DIST-ALE</x:v>
      </x:c>
      <x:c r="B9" s="8" t="str">
        <x:v>taylor-family-trust</x:v>
      </x:c>
      <x:c r="C9" s="15" t="n">
        <x:v>2025</x:v>
      </x:c>
      <x:c r="D9" s="8" t="str">
        <x:v>beneficiary_info</x:v>
      </x:c>
      <x:c r="E9" s="8" t="str">
        <x:v>Alex Taylor ordinary-income allocation</x:v>
      </x:c>
      <x:c r="F9" s="8" t="str">
        <x:v>ordinary_income</x:v>
      </x:c>
      <x:c r="G9" s="14" t="n">
        <x:v>18000</x:v>
      </x:c>
      <x:c r="H9" s="8" t="str">
        <x:v>AUD</x:v>
      </x:c>
      <x:c r="I9" s="8" t="str">
        <x:v>gross</x:v>
      </x:c>
      <x:c r="J9" s="8" t="str">
        <x:v>FY25-TR-DIST</x:v>
      </x:c>
      <x:c r="K9" s="8" t="str">
        <x:v>annual</x:v>
      </x:c>
      <x:c r="L9" s="8" t="str">
        <x:v>Provide the current-year beneficiary allocation record for Alex with separate components.</x:v>
      </x:c>
    </x:row>
    <x:row r="10" ht="64" customHeight="1">
      <x:c r="A10" s="8" t="str">
        <x:v>TR-DIST-SAM</x:v>
      </x:c>
      <x:c r="B10" s="8" t="str">
        <x:v>taylor-family-trust</x:v>
      </x:c>
      <x:c r="C10" s="15" t="n">
        <x:v>2025</x:v>
      </x:c>
      <x:c r="D10" s="8" t="str">
        <x:v>beneficiary_info</x:v>
      </x:c>
      <x:c r="E10" s="8" t="str">
        <x:v>Sam Taylor ordinary-income allocation</x:v>
      </x:c>
      <x:c r="F10" s="8" t="str">
        <x:v>ordinary_income</x:v>
      </x:c>
      <x:c r="G10" s="14" t="n">
        <x:v>12000</x:v>
      </x:c>
      <x:c r="H10" s="8" t="str">
        <x:v>AUD</x:v>
      </x:c>
      <x:c r="I10" s="8" t="str">
        <x:v>gross</x:v>
      </x:c>
      <x:c r="J10" s="8" t="str">
        <x:v>FY25-TR-DIST</x:v>
      </x:c>
      <x:c r="K10" s="8" t="str">
        <x:v>annual</x:v>
      </x:c>
      <x:c r="L10" s="8" t="str">
        <x:v>Provide the current-year beneficiary allocation record for Sam with separate components.</x:v>
      </x:c>
    </x:row>
    <x:row r="11" ht="64" customHeight="1">
      <x:c r="A11" s="8" t="str">
        <x:v>TR-DOC</x:v>
      </x:c>
      <x:c r="B11" s="8" t="str">
        <x:v>taylor-family-trust</x:v>
      </x:c>
      <x:c r="C11" s="15" t="n">
        <x:v>2025</x:v>
      </x:c>
      <x:c r="D11" s="8" t="str">
        <x:v>trust_documents</x:v>
      </x:c>
      <x:c r="E11" s="8" t="str">
        <x:v>Trust document checklist</x:v>
      </x:c>
      <x:c r="F11" s="8" t="str">
        <x:v>document</x:v>
      </x:c>
      <x:c r="G11" s="14"/>
      <x:c r="H11" s="8" t="str">
        <x:v>AUD</x:v>
      </x:c>
      <x:c r="I11" s="8" t="str">
        <x:v>document</x:v>
      </x:c>
      <x:c r="J11" s="8" t="str">
        <x:v>FY25-TR-DOC</x:v>
      </x:c>
      <x:c r="K11" s="8" t="str">
        <x:v>annual</x:v>
      </x:c>
      <x:c r="L11" s="8" t="str">
        <x:v>Provide current-year trust resolutions and confirm any deed amendments or trustee changes.</x:v>
      </x:c>
    </x:row>
    <x:row r="12" ht="4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</x:sheetData>
  <x:pageMargins left="0.7" right="0.7" top="0.75" bottom="0.75" header="0.3" footer="0.3"/>
  <x:tableParts count="1">
    <x:tablePart xmlns:r="http://schemas.openxmlformats.org/officeDocument/2006/relationships" r:id="R88b88c7398cc4009"/>
  </x:tableParts>
</x:worksheet>
</file>