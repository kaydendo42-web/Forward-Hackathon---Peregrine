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dccb0c80b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841717c28bf345a9"/>
    <x:sheet xmlns:r="http://schemas.openxmlformats.org/officeDocument/2006/relationships" name="Trial Balance" sheetId="2" r:id="R5f0a18d3aa3a4cd1"/>
    <x:sheet xmlns:r="http://schemas.openxmlformats.org/officeDocument/2006/relationships" name="Bank Reconciliation" sheetId="3" r:id="Rf6d10cadcebb4ccc"/>
    <x:sheet xmlns:r="http://schemas.openxmlformats.org/officeDocument/2006/relationships" name="Receivables and Payables" sheetId="4" r:id="R64ffd3c4b06c4ae9"/>
    <x:sheet xmlns:r="http://schemas.openxmlformats.org/officeDocument/2006/relationships" name="Assets" sheetId="5" r:id="R6e1e7a2184bd4330"/>
    <x:sheet xmlns:r="http://schemas.openxmlformats.org/officeDocument/2006/relationships" name="Related Parties" sheetId="6" r:id="R2bd10fcb817c49d3"/>
    <x:sheet xmlns:r="http://schemas.openxmlformats.org/officeDocument/2006/relationships" name="Evidence" sheetId="7" r:id="R7f039a7442064c10"/>
    <x:sheet xmlns:r="http://schemas.openxmlformats.org/officeDocument/2006/relationships" name="Data" sheetId="8" r:id="Rc4302bd69dd2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&quot;—&quot;"/>
    <x:numFmt numFmtId="201" formatCode="0"/>
    <x:numFmt numFmtId="202" formatCode="dd mmm yyyy"/>
  </x:numFmts>
  <x:fonts count="10">
    <x:font>
      <x:sz val="11"/>
      <x:name val="Carlito"/>
    </x:font>
    <x:font>
      <x:sz val="11"/>
      <x:color rgb="FF162537"/>
      <x:name val="Helvetica Neue"/>
    </x:font>
    <x:font>
      <x:b/>
      <x:sz val="18"/>
      <x:color rgb="FF162537"/>
      <x:name val="Helvetica Neue"/>
    </x:font>
    <x:font>
      <x:i/>
      <x:sz val="10"/>
      <x:color rgb="FF576779"/>
      <x:name val="Helvetica Neue"/>
    </x:font>
    <x:font>
      <x:b/>
      <x:sz val="11"/>
      <x:color rgb="FFFFFFFF"/>
      <x:name val="Helvetica Neue"/>
    </x:font>
    <x:font>
      <x:b/>
      <x:sz val="11"/>
      <x:color rgb="FF162537"/>
      <x:name val="Helvetica Neue"/>
    </x:font>
    <x:font>
      <x:sz val="11"/>
      <x:color rgb="FF008000"/>
      <x:name val="Helvetica Neue"/>
    </x:font>
    <x:font>
      <x:sz val="11"/>
      <x:color rgb="FF000000"/>
      <x:name val="Helvetica Neue"/>
    </x:font>
    <x:font>
      <x:b/>
      <x:sz val="11"/>
      <x:color rgb="FF000000"/>
      <x:name val="Helvetica Neue"/>
    </x:font>
    <x:font>
      <x:b/>
      <x:sz val="11"/>
      <x:color rgb="FF008000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5"/>
      </x:patternFill>
    </x:fill>
    <x:fill>
      <x:patternFill patternType="solid">
        <x:fgColor rgb="FFF0F4F7"/>
      </x:patternFill>
    </x:fill>
  </x:fills>
  <x:borders count="3">
    <x:border/>
    <x:border>
      <x:bottom style="thin">
        <x:color rgb="FFB5C1CC"/>
      </x:bottom>
    </x:border>
    <x:border>
      <x:top style="thin">
        <x:color rgb="FFB5C1CC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200" fontId="7" fillId="0" borderId="0" xfId="0" applyNumberFormat="1" applyFont="1" applyFill="1" applyBorder="1" applyAlignment="1">
      <x:alignment horizontal="right" vertical="center"/>
    </x:xf>
    <x:xf numFmtId="200" fontId="7" fillId="0" borderId="2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horizontal="right" vertical="center"/>
    </x:xf>
    <x:xf numFmtId="200" fontId="9" fillId="0" borderId="2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5683b6c6f4527" /><Relationship Type="http://schemas.openxmlformats.org/officeDocument/2006/relationships/theme" Target="/xl/theme/theme1.xml" Id="Rb250dacd78114604" /><Relationship Type="http://schemas.openxmlformats.org/officeDocument/2006/relationships/sharedStrings" Target="/xl/sharedStrings.xml" Id="Rf9cdda0dda394afb" /><Relationship Type="http://schemas.openxmlformats.org/officeDocument/2006/relationships/worksheet" Target="/xl/worksheets/sheet1.xml" Id="R841717c28bf345a9" /><Relationship Type="http://schemas.openxmlformats.org/officeDocument/2006/relationships/worksheet" Target="/xl/worksheets/sheet2.xml" Id="R5f0a18d3aa3a4cd1" /><Relationship Type="http://schemas.openxmlformats.org/officeDocument/2006/relationships/worksheet" Target="/xl/worksheets/sheet3.xml" Id="Rf6d10cadcebb4ccc" /><Relationship Type="http://schemas.openxmlformats.org/officeDocument/2006/relationships/worksheet" Target="/xl/worksheets/sheet4.xml" Id="R64ffd3c4b06c4ae9" /><Relationship Type="http://schemas.openxmlformats.org/officeDocument/2006/relationships/worksheet" Target="/xl/worksheets/sheet5.xml" Id="R6e1e7a2184bd4330" /><Relationship Type="http://schemas.openxmlformats.org/officeDocument/2006/relationships/worksheet" Target="/xl/worksheets/sheet6.xml" Id="R2bd10fcb817c49d3" /><Relationship Type="http://schemas.openxmlformats.org/officeDocument/2006/relationships/worksheet" Target="/xl/worksheets/sheet7.xml" Id="R7f039a7442064c10" /><Relationship Type="http://schemas.openxmlformats.org/officeDocument/2006/relationships/worksheet" Target="/xl/worksheets/sheet8.xml" Id="Rc4302bd69dd24e0e" /></Relationships>
</file>

<file path=xl/tables/table1.xml><?xml version="1.0" encoding="utf-8"?>
<x:table xmlns:x="http://schemas.openxmlformats.org/spreadsheetml/2006/main" id="1" name="Peregrine_Metadata" displayName="Peregrine_Metadata" ref="A6:B1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eregrine_Evidence" displayName="Peregrine_Evidence" ref="A6:I11" headerRowCount="1" totalsRowCount="0" totalsRowShown="0">
  <x:tableColumns count="9">
    <x:tableColumn id="1" name="document_id"/>
    <x:tableColumn id="2" name="line_id"/>
    <x:tableColumn id="3" name="entity_id"/>
    <x:tableColumn id="4" name="financial_year"/>
    <x:tableColumn id="5" name="component"/>
    <x:tableColumn id="6" name="currency"/>
    <x:tableColumn id="7" name="basis"/>
    <x:tableColumn id="8" name="amount"/>
    <x:tableColumn id="9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regrine_Lines" displayName="Peregrine_Lines" ref="A6:L11" headerRowCount="1" totalsRowCount="0" totalsRowShown="0">
  <x:tableColumns count="12">
    <x:tableColumn id="1" name="line_id"/>
    <x:tableColumn id="2" name="entity_id"/>
    <x:tableColumn id="3" name="financial_year"/>
    <x:tableColumn id="4" name="category"/>
    <x:tableColumn id="5" name="label"/>
    <x:tableColumn id="6" name="component"/>
    <x:tableColumn id="7" name="amount"/>
    <x:tableColumn id="8" name="currency"/>
    <x:tableColumn id="9" name="basis"/>
    <x:tableColumn id="10" name="source_ref"/>
    <x:tableColumn id="11" name="recurrence"/>
    <x:tableColumn id="12" name="request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e8a81c980845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4a4acb332e6f48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fc7c5800e27340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" hidden="0" customWidth="1"/>
    <x:col min="4" max="4" width="32" hidden="0" customWidth="1"/>
    <x:col min="5" max="5" width="48" hidden="0" customWidth="1"/>
    <x:col min="6" max="6" width="1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4" customHeight="1">
      <x:c r="A2" s="4" t="str">
        <x:v>Taylor Services Pty Ltd — FY25</x:v>
      </x:c>
      <x:c r="B2" s="4"/>
      <x:c r="C2" s="4"/>
      <x:c r="D2" s="4"/>
      <x:c r="E2" s="4"/>
      <x:c r="F2" s="4"/>
    </x:row>
    <x:row r="3" ht="25" customHeight="1">
      <x:c r="A3" s="5" t="str">
        <x:v>Peregrine synthetic baseline · 1 July 2024 to 30 June 2025 · AUD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0" customHeight="1">
      <x:c r="A6" s="7" t="str">
        <x:v>key</x:v>
      </x:c>
      <x:c r="B6" s="7" t="str">
        <x:v>value</x:v>
      </x:c>
      <x:c r="C6" s="2"/>
      <x:c r="D6" s="7" t="str">
        <x:v>Workbook contents</x:v>
      </x:c>
      <x:c r="E6" s="7" t="str">
        <x:v>Purpose</x:v>
      </x:c>
      <x:c r="F6" s="2"/>
    </x:row>
    <x:row r="7" ht="35" customHeight="1">
      <x:c r="A7" s="2" t="str">
        <x:v>schema_version</x:v>
      </x:c>
      <x:c r="B7" s="8" t="str">
        <x:v>1</x:v>
      </x:c>
      <x:c r="C7" s="2"/>
      <x:c r="D7" s="8" t="str">
        <x:v>Metadata</x:v>
      </x:c>
      <x:c r="E7" s="8" t="str">
        <x:v>Entity, period, schema and scope</x:v>
      </x:c>
      <x:c r="F7" s="2"/>
    </x:row>
    <x:row r="8" ht="35" customHeight="1">
      <x:c r="A8" s="2" t="str">
        <x:v>workbook_id</x:v>
      </x:c>
      <x:c r="B8" s="8" t="str">
        <x:v>FY25-taylor-services</x:v>
      </x:c>
      <x:c r="C8" s="2"/>
      <x:c r="D8" s="8" t="str">
        <x:v>Trial Balance</x:v>
      </x:c>
      <x:c r="E8" s="8" t="str">
        <x:v>Illustrative closing debit and credit balances</x:v>
      </x:c>
      <x:c r="F8" s="2"/>
    </x:row>
    <x:row r="9" ht="35" customHeight="1">
      <x:c r="A9" s="2" t="str">
        <x:v>entity_id</x:v>
      </x:c>
      <x:c r="B9" s="8" t="str">
        <x:v>taylor-services</x:v>
      </x:c>
      <x:c r="C9" s="2"/>
      <x:c r="D9" s="8" t="str">
        <x:v>Bank Reconciliation</x:v>
      </x:c>
      <x:c r="E9" s="8" t="str">
        <x:v>Statement-to-book balance bridge</x:v>
      </x:c>
      <x:c r="F9" s="2"/>
    </x:row>
    <x:row r="10" ht="35" customHeight="1">
      <x:c r="A10" s="2" t="str">
        <x:v>entity_name</x:v>
      </x:c>
      <x:c r="B10" s="8" t="str">
        <x:v>Taylor Services Pty Ltd</x:v>
      </x:c>
      <x:c r="C10" s="2"/>
      <x:c r="D10" s="8" t="str">
        <x:v>Receivables and Payables</x:v>
      </x:c>
      <x:c r="E10" s="8" t="str">
        <x:v>Open invoice and bill detail</x:v>
      </x:c>
      <x:c r="F10" s="2"/>
    </x:row>
    <x:row r="11" ht="35" customHeight="1">
      <x:c r="A11" s="2" t="str">
        <x:v>entity_type</x:v>
      </x:c>
      <x:c r="B11" s="8" t="str">
        <x:v>company</x:v>
      </x:c>
      <x:c r="C11" s="2"/>
      <x:c r="D11" s="8" t="str">
        <x:v>Assets</x:v>
      </x:c>
      <x:c r="E11" s="8" t="str">
        <x:v>Book carrying-amount reconciliation</x:v>
      </x:c>
      <x:c r="F11" s="2"/>
    </x:row>
    <x:row r="12" ht="35" customHeight="1">
      <x:c r="A12" s="2" t="str">
        <x:v>financial_year</x:v>
      </x:c>
      <x:c r="B12" s="8" t="n">
        <x:v>2025</x:v>
      </x:c>
      <x:c r="C12" s="2"/>
      <x:c r="D12" s="8" t="str">
        <x:v>Related Parties</x:v>
      </x:c>
      <x:c r="E12" s="8" t="str">
        <x:v>Illustrative shareholder loan movement</x:v>
      </x:c>
      <x:c r="F12" s="2"/>
    </x:row>
    <x:row r="13" ht="35" customHeight="1">
      <x:c r="A13" s="2" t="str">
        <x:v>synthetic</x:v>
      </x:c>
      <x:c r="B13" s="8" t="str">
        <x:v>true</x:v>
      </x:c>
      <x:c r="C13" s="2"/>
      <x:c r="D13" s="8" t="str">
        <x:v>Evidence</x:v>
      </x:c>
      <x:c r="E13" s="8" t="str">
        <x:v>Independent synthetic evidence records</x:v>
      </x:c>
      <x:c r="F13" s="2"/>
    </x:row>
    <x:row r="14" ht="35" customHeight="1">
      <x:c r="A14" s="2" t="str">
        <x:v>template_version</x:v>
      </x:c>
      <x:c r="B14" s="8" t="str">
        <x:v>1</x:v>
      </x:c>
      <x:c r="C14" s="2"/>
      <x:c r="D14" s="8" t="str">
        <x:v>Data</x:v>
      </x:c>
      <x:c r="E14" s="8" t="str">
        <x:v>Named import table with stable line IDs</x:v>
      </x:c>
      <x:c r="F14" s="2"/>
    </x:row>
    <x:row r="15" ht="25" customHeight="1">
      <x:c r="A15" s="2" t="str">
        <x:v>baseline_version</x:v>
      </x:c>
      <x:c r="B15" s="8" t="n">
        <x:v>1</x:v>
      </x:c>
      <x:c r="C15" s="2"/>
      <x:c r="D15" s="2"/>
      <x:c r="E15" s="2"/>
      <x:c r="F15" s="2"/>
    </x:row>
    <x:row r="16" ht="25" customHeight="1">
      <x:c r="A16" s="2" t="str">
        <x:v>status</x:v>
      </x:c>
      <x:c r="B16" s="8" t="str">
        <x:v>synthetic_reviewed</x:v>
      </x:c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10" t="str">
        <x:v>Scope and use</x:v>
      </x:c>
      <x:c r="B19" s="10"/>
      <x:c r="C19" s="10"/>
      <x:c r="D19" s="10"/>
      <x:c r="E19" s="10"/>
      <x:c r="F19" s="10"/>
    </x:row>
    <x:row r="20" ht="25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All people, organisations, amounts and documents in this workbook are fictional.</x:v>
      </x:c>
      <x:c r="B21" s="2"/>
      <x:c r="C21" s="2"/>
      <x:c r="D21" s="2"/>
      <x:c r="E21" s="2"/>
      <x:c r="F21" s="2"/>
    </x:row>
    <x:row r="22" ht="27" customHeight="1">
      <x:c r="A22" s="2" t="str">
        <x:v>Illustrative closing balances and supporting schedules only. No tax adjustments, GST analysis or tax liability is calculated.</x:v>
      </x:c>
      <x:c r="B22" s="2"/>
      <x:c r="C22" s="2"/>
      <x:c r="D22" s="2"/>
      <x:c r="E22" s="2"/>
      <x:c r="F22" s="2"/>
    </x:row>
    <x:row r="23" ht="27" customHeight="1">
      <x:c r="A23" s="2" t="str">
        <x:v>This is a limited workpaper prototype. It is not a completed tax return or an ATO lodgment record.</x:v>
      </x:c>
      <x:c r="B23" s="2"/>
      <x:c r="C23" s="2"/>
      <x:c r="D23" s="2"/>
      <x:c r="E23" s="2"/>
      <x:c r="F23" s="2"/>
    </x:row>
    <x:row r="24" ht="27" customHeight="1">
      <x:c r="A24" s="2" t="str">
        <x:v>The synthetic_reviewed value seeds the demo. Import approval requires an authenticated event in the app.</x:v>
      </x:c>
      <x:c r="B24" s="2"/>
      <x:c r="C24" s="2"/>
      <x:c r="D24" s="2"/>
      <x:c r="E24" s="2"/>
      <x:c r="F24" s="2"/>
    </x:row>
    <x:row r="25" ht="27" customHeight="1">
      <x:c r="A25" s="2" t="str">
        <x:v>Use FY25 only as a comparative and enquiry source. Obtain separate evidence for the current financial year.</x:v>
      </x:c>
      <x:c r="B25" s="2"/>
      <x:c r="C25" s="2"/>
      <x:c r="D25" s="2"/>
      <x:c r="E25" s="2"/>
      <x:c r="F25" s="2"/>
    </x:row>
    <x:row r="26" ht="27" customHeight="1">
      <x:c r="A26" s="2" t="str">
        <x:v>Green figures link to another sheet. Black figures calculate within the sheet. Missing document amounts stay blank.</x:v>
      </x:c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  <x:tableParts count="1">
    <x:tablePart xmlns:r="http://schemas.openxmlformats.org/officeDocument/2006/relationships" r:id="R33e8a81c980845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22" hidden="0" customWidth="1"/>
    <x:col min="5" max="5" width="22" hidden="0" customWidth="1"/>
    <x:col min="6" max="6" width="28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Trial Balance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Services Pty Ltd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Account</x:v>
      </x:c>
      <x:c r="D6" s="12" t="str">
        <x:v>Debit AUD</x:v>
      </x:c>
      <x:c r="E6" s="12" t="str">
        <x:v>Credit AUD</x:v>
      </x:c>
      <x:c r="F6" s="12" t="str">
        <x:v>Source</x:v>
      </x:c>
      <x:c r="G6" s="12" t="str">
        <x:v>Comment</x:v>
      </x:c>
    </x:row>
    <x:row r="7" ht="38" customHeight="1">
      <x:c r="A7" s="2"/>
      <x:c r="B7" s="2"/>
      <x:c r="C7" s="8" t="str">
        <x:v>Bank</x:v>
      </x:c>
      <x:c r="D7" s="20" t="n">
        <x:f>INDEX('Data'!$G$7:$G$11,MATCH("CO-BANK",'Data'!$A$7:$A$11,0))</x:f>
        <x:v>38000</x:v>
      </x:c>
      <x:c r="E7" s="14"/>
      <x:c r="F7" s="8" t="str">
        <x:v>CO-BANK</x:v>
      </x:c>
      <x:c r="G7" s="8" t="str">
        <x:v>Reconciled cash</x:v>
      </x:c>
    </x:row>
    <x:row r="8" ht="38" customHeight="1">
      <x:c r="A8" s="2"/>
      <x:c r="B8" s="2"/>
      <x:c r="C8" s="8" t="str">
        <x:v>Trade receivables</x:v>
      </x:c>
      <x:c r="D8" s="20" t="n">
        <x:f>INDEX('Data'!$G$7:$G$11,MATCH("CO-AR",'Data'!$A$7:$A$11,0))</x:f>
        <x:v>24000</x:v>
      </x:c>
      <x:c r="E8" s="14"/>
      <x:c r="F8" s="8" t="str">
        <x:v>CO-AR</x:v>
      </x:c>
      <x:c r="G8" s="8" t="str">
        <x:v>Open customer invoices</x:v>
      </x:c>
    </x:row>
    <x:row r="9" ht="38" customHeight="1">
      <x:c r="A9" s="2"/>
      <x:c r="B9" s="2"/>
      <x:c r="C9" s="8" t="str">
        <x:v>Equipment carrying amount</x:v>
      </x:c>
      <x:c r="D9" s="20" t="n">
        <x:f>INDEX('Data'!$G$7:$G$11,MATCH("CO-ASSET",'Data'!$A$7:$A$11,0))</x:f>
        <x:v>30000</x:v>
      </x:c>
      <x:c r="E9" s="14"/>
      <x:c r="F9" s="8" t="str">
        <x:v>CO-ASSET</x:v>
      </x:c>
      <x:c r="G9" s="8" t="str">
        <x:v>Net book carrying amount</x:v>
      </x:c>
    </x:row>
    <x:row r="10" ht="38" customHeight="1">
      <x:c r="A10" s="2"/>
      <x:c r="B10" s="2"/>
      <x:c r="C10" s="8" t="str">
        <x:v>Trade payables</x:v>
      </x:c>
      <x:c r="D10" s="14"/>
      <x:c r="E10" s="20" t="n">
        <x:f>INDEX('Data'!$G$7:$G$11,MATCH("CO-AP",'Data'!$A$7:$A$11,0))</x:f>
        <x:v>12000</x:v>
      </x:c>
      <x:c r="F10" s="8" t="str">
        <x:v>CO-AP</x:v>
      </x:c>
      <x:c r="G10" s="8" t="str">
        <x:v>Unpaid supplier bills</x:v>
      </x:c>
    </x:row>
    <x:row r="11" ht="38" customHeight="1">
      <x:c r="A11" s="2"/>
      <x:c r="B11" s="2"/>
      <x:c r="C11" s="8" t="str">
        <x:v>Shareholder loan payable</x:v>
      </x:c>
      <x:c r="D11" s="14"/>
      <x:c r="E11" s="20" t="n">
        <x:f>INDEX('Data'!$G$7:$G$11,MATCH("CO-LOAN",'Data'!$A$7:$A$11,0))</x:f>
        <x:v>20000</x:v>
      </x:c>
      <x:c r="F11" s="8" t="str">
        <x:v>CO-LOAN</x:v>
      </x:c>
      <x:c r="G11" s="8" t="str">
        <x:v>Liability; terms unassessed</x:v>
      </x:c>
    </x:row>
    <x:row r="12" ht="38" customHeight="1">
      <x:c r="A12" s="2"/>
      <x:c r="B12" s="2"/>
      <x:c r="C12" s="8" t="str">
        <x:v>Contributed equity</x:v>
      </x:c>
      <x:c r="D12" s="14"/>
      <x:c r="E12" s="14" t="n">
        <x:v>10000</x:v>
      </x:c>
      <x:c r="F12" s="8" t="str">
        <x:v>Synthetic supporting record</x:v>
      </x:c>
      <x:c r="G12" s="8" t="str">
        <x:v>Seeded supporting balance</x:v>
      </x:c>
    </x:row>
    <x:row r="13" ht="38" customHeight="1">
      <x:c r="A13" s="2"/>
      <x:c r="B13" s="2"/>
      <x:c r="C13" s="8" t="str">
        <x:v>Retained earnings</x:v>
      </x:c>
      <x:c r="D13" s="14"/>
      <x:c r="E13" s="14" t="n">
        <x:v>50000</x:v>
      </x:c>
      <x:c r="F13" s="8" t="str">
        <x:v>Synthetic supporting record</x:v>
      </x:c>
      <x:c r="G13" s="8" t="str">
        <x:v>Seeded supporting balance</x:v>
      </x:c>
    </x:row>
    <x:row r="14" ht="24" customHeight="1">
      <x:c r="A14" s="2"/>
      <x:c r="B14" s="2"/>
      <x:c r="C14" s="2"/>
      <x:c r="D14" s="21"/>
      <x:c r="E14" s="21"/>
      <x:c r="F14" s="2"/>
      <x:c r="G14" s="2"/>
    </x:row>
    <x:row r="15" ht="24" customHeight="1">
      <x:c r="A15" s="2"/>
      <x:c r="B15" s="2"/>
      <x:c r="C15" s="25" t="str">
        <x:v>Closing balance totals</x:v>
      </x:c>
      <x:c r="D15" s="28" t="n">
        <x:f>SUM(D7:D13)</x:f>
        <x:v>92000</x:v>
      </x:c>
      <x:c r="E15" s="28" t="n">
        <x:f>SUM(E7:E13)</x:f>
        <x:v>92000</x:v>
      </x:c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4" customHeight="1">
      <x:c r="A17" s="2"/>
      <x:c r="B17" s="2"/>
      <x:c r="C17" s="25" t="str">
        <x:v>Debit less credit difference</x:v>
      </x:c>
      <x:c r="D17" s="25"/>
      <x:c r="E17" s="28" t="n">
        <x:f>D15-E15</x:f>
        <x:v>0</x:v>
      </x:c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30" customHeight="1">
      <x:c r="A20" s="2"/>
      <x:c r="B20" s="2"/>
      <x:c r="C20" s="31" t="str">
        <x:v>Supporting equity / funds balances are explicit synthetic inputs. This is an illustrative closing-balance schedule.</x:v>
      </x:c>
      <x:c r="D20" s="2"/>
      <x:c r="E20" s="2"/>
      <x:c r="F20" s="2"/>
      <x:c r="G20" s="2"/>
    </x:row>
    <x:row r="21" ht="30" customHeight="1">
      <x:c r="A21" s="2"/>
      <x:c r="B21" s="2"/>
      <x:c r="C21" s="31" t="str">
        <x:v>The sample omits the income statement, tax adjustments and full financial-report disclosures.</x:v>
      </x:c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25" hidden="0" customWidth="1"/>
    <x:col min="5" max="5" width="23" hidden="0" customWidth="1"/>
    <x:col min="6" max="6" width="27" hidden="0" customWidth="1"/>
    <x:col min="7" max="7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Bank Reconciliation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Services Pty Ltd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Reconciliation item</x:v>
      </x:c>
      <x:c r="D6" s="12" t="str">
        <x:v>Basis</x:v>
      </x:c>
      <x:c r="E6" s="12" t="str">
        <x:v>Amount AUD</x:v>
      </x:c>
      <x:c r="F6" s="12" t="str">
        <x:v>Evidence reference</x:v>
      </x:c>
      <x:c r="G6" s="12" t="str">
        <x:v>Context</x:v>
      </x:c>
    </x:row>
    <x:row r="7" ht="40" customHeight="1">
      <x:c r="A7" s="2"/>
      <x:c r="B7" s="2"/>
      <x:c r="C7" s="8" t="str">
        <x:v>Statement closing balance</x:v>
      </x:c>
      <x:c r="D7" s="8" t="str">
        <x:v>Statement</x:v>
      </x:c>
      <x:c r="E7" s="14" t="n">
        <x:v>40000</x:v>
      </x:c>
      <x:c r="F7" s="8" t="str">
        <x:v>FY25-CO-BANK</x:v>
      </x:c>
      <x:c r="G7" s="8" t="str">
        <x:v>30 June 2025; fictional bank</x:v>
      </x:c>
    </x:row>
    <x:row r="8" ht="40" customHeight="1">
      <x:c r="A8" s="2"/>
      <x:c r="B8" s="2"/>
      <x:c r="C8" s="8" t="str">
        <x:v>Deposit in transit</x:v>
      </x:c>
      <x:c r="D8" s="8" t="str">
        <x:v>Add</x:v>
      </x:c>
      <x:c r="E8" s="14" t="n">
        <x:v>1000</x:v>
      </x:c>
      <x:c r="F8" s="8" t="str">
        <x:v>Synthetic reconciling item</x:v>
      </x:c>
      <x:c r="G8" s="8" t="str">
        <x:v>Not on statement at 30 June</x:v>
      </x:c>
    </x:row>
    <x:row r="9" ht="40" customHeight="1">
      <x:c r="A9" s="2"/>
      <x:c r="B9" s="2"/>
      <x:c r="C9" s="8" t="str">
        <x:v>Outstanding payments</x:v>
      </x:c>
      <x:c r="D9" s="8" t="str">
        <x:v>Less</x:v>
      </x:c>
      <x:c r="E9" s="14" t="n">
        <x:v>-3000</x:v>
      </x:c>
      <x:c r="F9" s="8" t="str">
        <x:v>Synthetic reconciling item</x:v>
      </x:c>
      <x:c r="G9" s="8" t="str">
        <x:v>Not on statement at 30 June</x:v>
      </x:c>
    </x:row>
    <x:row r="10" ht="24" customHeight="1">
      <x:c r="A10" s="2"/>
      <x:c r="B10" s="2"/>
      <x:c r="C10" s="2"/>
      <x:c r="D10" s="2"/>
      <x:c r="E10" s="21"/>
      <x:c r="F10" s="2"/>
      <x:c r="G10" s="2"/>
    </x:row>
    <x:row r="11" ht="24" customHeight="1">
      <x:c r="A11" s="2"/>
      <x:c r="B11" s="2"/>
      <x:c r="C11" s="25" t="str">
        <x:v>Adjusted statement balance</x:v>
      </x:c>
      <x:c r="D11" s="25"/>
      <x:c r="E11" s="28" t="n">
        <x:f>SUM(E7:E9)</x:f>
        <x:v>38000</x:v>
      </x:c>
      <x:c r="F11" s="2"/>
      <x:c r="G11" s="2"/>
    </x:row>
    <x:row r="12" ht="24" customHeight="1">
      <x:c r="A12" s="2"/>
      <x:c r="B12" s="2"/>
      <x:c r="C12" s="2"/>
      <x:c r="D12" s="2"/>
      <x:c r="E12" s="21"/>
      <x:c r="F12" s="2"/>
      <x:c r="G12" s="2"/>
    </x:row>
    <x:row r="13" ht="24" customHeight="1">
      <x:c r="A13" s="2"/>
      <x:c r="B13" s="2"/>
      <x:c r="C13" s="2" t="str">
        <x:v>Book closing balance</x:v>
      </x:c>
      <x:c r="D13" s="2"/>
      <x:c r="E13" s="34" t="n">
        <x:f>INDEX('Data'!$G$7:$G$11,MATCH("CO-BANK",'Data'!$A$7:$A$11,0))</x:f>
        <x:v>38000</x:v>
      </x:c>
      <x:c r="F13" s="2"/>
      <x:c r="G13" s="2"/>
    </x:row>
    <x:row r="14" ht="24" customHeight="1">
      <x:c r="A14" s="2"/>
      <x:c r="B14" s="2"/>
      <x:c r="C14" s="2"/>
      <x:c r="D14" s="2"/>
      <x:c r="E14" s="21"/>
      <x:c r="F14" s="2"/>
      <x:c r="G14" s="2"/>
    </x:row>
    <x:row r="15" ht="24" customHeight="1">
      <x:c r="A15" s="2"/>
      <x:c r="B15" s="2"/>
      <x:c r="C15" s="25" t="str">
        <x:v>Statement-to-book difference</x:v>
      </x:c>
      <x:c r="D15" s="25"/>
      <x:c r="E15" s="28" t="n">
        <x:f>E11-E13</x:f>
        <x:v>0</x:v>
      </x:c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6" customHeight="1">
      <x:c r="A19" s="2"/>
      <x:c r="B19" s="2"/>
      <x:c r="C19" s="10" t="str">
        <x:v>Reconciliation scope</x:v>
      </x:c>
      <x:c r="D19" s="10"/>
      <x:c r="E19" s="10"/>
      <x:c r="F19" s="10"/>
      <x:c r="G19" s="10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30" customHeight="1">
      <x:c r="A21" s="2"/>
      <x:c r="B21" s="2"/>
      <x:c r="C21" s="31" t="str">
        <x:v>The statement and reconciling items are seeded test inputs. No bank feed or genuine account is represented.</x:v>
      </x:c>
      <x:c r="D21" s="2"/>
      <x:c r="E21" s="2"/>
      <x:c r="F21" s="2"/>
      <x:c r="G21" s="2"/>
    </x:row>
    <x:row r="22" ht="30" customHeight="1">
      <x:c r="A22" s="2"/>
      <x:c r="B22" s="2"/>
      <x:c r="C22" s="31" t="str">
        <x:v>Confirm outstanding items against subsequent transactions when real evidence is supplied.</x:v>
      </x:c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36" hidden="0" customWidth="1"/>
    <x:col min="5" max="5" width="22" hidden="0" customWidth="1"/>
    <x:col min="6" max="6" width="25" hidden="0" customWidth="1"/>
    <x:col min="7" max="7" width="4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Receivables and Payables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Services Pty Ltd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Invoice / bill</x:v>
      </x:c>
      <x:c r="D6" s="12" t="str">
        <x:v>Fictional counterparty</x:v>
      </x:c>
      <x:c r="E6" s="12" t="str">
        <x:v>Outstanding AUD</x:v>
      </x:c>
      <x:c r="F6" s="12" t="str">
        <x:v>Due date</x:v>
      </x:c>
      <x:c r="G6" s="12" t="str">
        <x:v>Evidence reference</x:v>
      </x:c>
    </x:row>
    <x:row r="7" ht="24" customHeight="1">
      <x:c r="A7" s="2"/>
      <x:c r="B7" s="2"/>
      <x:c r="C7" s="2" t="str">
        <x:v>INV-25061</x:v>
      </x:c>
      <x:c r="D7" s="2" t="str">
        <x:v>Copper Gum Design</x:v>
      </x:c>
      <x:c r="E7" s="21" t="n">
        <x:v>9000</x:v>
      </x:c>
      <x:c r="F7" s="35" t="n">
        <x:v>45823</x:v>
      </x:c>
      <x:c r="G7" s="2" t="str">
        <x:v>FY25-CO-AR</x:v>
      </x:c>
    </x:row>
    <x:row r="8" ht="24" customHeight="1">
      <x:c r="A8" s="2"/>
      <x:c r="B8" s="2"/>
      <x:c r="C8" s="2" t="str">
        <x:v>INV-25072</x:v>
      </x:c>
      <x:c r="D8" s="2" t="str">
        <x:v>Paperbark Studio</x:v>
      </x:c>
      <x:c r="E8" s="21" t="n">
        <x:v>8000</x:v>
      </x:c>
      <x:c r="F8" s="35" t="n">
        <x:v>45853</x:v>
      </x:c>
      <x:c r="G8" s="2" t="str">
        <x:v>FY25-CO-AR</x:v>
      </x:c>
    </x:row>
    <x:row r="9" ht="24" customHeight="1">
      <x:c r="A9" s="2"/>
      <x:c r="B9" s="2"/>
      <x:c r="C9" s="2" t="str">
        <x:v>INV-25083</x:v>
      </x:c>
      <x:c r="D9" s="2" t="str">
        <x:v>Saltbush Projects</x:v>
      </x:c>
      <x:c r="E9" s="21" t="n">
        <x:v>7000</x:v>
      </x:c>
      <x:c r="F9" s="35" t="n">
        <x:v>45868</x:v>
      </x:c>
      <x:c r="G9" s="2" t="str">
        <x:v>FY25-CO-AR</x:v>
      </x:c>
    </x:row>
    <x:row r="10" ht="24" customHeight="1">
      <x:c r="A10" s="2"/>
      <x:c r="B10" s="2"/>
      <x:c r="C10" s="2"/>
      <x:c r="D10" s="2"/>
      <x:c r="E10" s="21"/>
      <x:c r="F10" s="2"/>
      <x:c r="G10" s="2"/>
    </x:row>
    <x:row r="11" ht="24" customHeight="1">
      <x:c r="A11" s="2"/>
      <x:c r="B11" s="2"/>
      <x:c r="C11" s="25" t="str">
        <x:v>Receivables detail total</x:v>
      </x:c>
      <x:c r="D11" s="25"/>
      <x:c r="E11" s="28" t="n">
        <x:f>SUM(E7:E9)</x:f>
        <x:v>24000</x:v>
      </x:c>
      <x:c r="F11" s="2"/>
      <x:c r="G11" s="2"/>
    </x:row>
    <x:row r="12" ht="24" customHeight="1">
      <x:c r="A12" s="2"/>
      <x:c r="B12" s="2"/>
      <x:c r="C12" s="25" t="str">
        <x:v>Difference to control balance</x:v>
      </x:c>
      <x:c r="D12" s="25"/>
      <x:c r="E12" s="37" t="n">
        <x:f>E11-INDEX('Data'!$G$7:$G$11,MATCH("CO-AR",'Data'!$A$7:$A$11,0))</x:f>
        <x:v>0</x:v>
      </x:c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6" customHeight="1">
      <x:c r="A16" s="2"/>
      <x:c r="B16" s="2"/>
      <x:c r="C16" s="10" t="str">
        <x:v>Trade payables</x:v>
      </x:c>
      <x:c r="D16" s="10"/>
      <x:c r="E16" s="10"/>
      <x:c r="F16" s="10"/>
      <x:c r="G16" s="10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34" customHeight="1">
      <x:c r="A18" s="2"/>
      <x:c r="B18" s="2"/>
      <x:c r="C18" s="12" t="str">
        <x:v>Invoice / bill</x:v>
      </x:c>
      <x:c r="D18" s="12" t="str">
        <x:v>Fictional counterparty</x:v>
      </x:c>
      <x:c r="E18" s="12" t="str">
        <x:v>Outstanding AUD</x:v>
      </x:c>
      <x:c r="F18" s="12" t="str">
        <x:v>Due date</x:v>
      </x:c>
      <x:c r="G18" s="12" t="str">
        <x:v>Evidence reference</x:v>
      </x:c>
    </x:row>
    <x:row r="19" ht="24" customHeight="1">
      <x:c r="A19" s="2"/>
      <x:c r="B19" s="2"/>
      <x:c r="C19" s="2" t="str">
        <x:v>BILL-25044</x:v>
      </x:c>
      <x:c r="D19" s="2" t="str">
        <x:v>Blue Wren Supplies</x:v>
      </x:c>
      <x:c r="E19" s="21" t="n">
        <x:v>5000</x:v>
      </x:c>
      <x:c r="F19" s="35" t="n">
        <x:v>45836</x:v>
      </x:c>
      <x:c r="G19" s="2" t="str">
        <x:v>FY25-CO-AP</x:v>
      </x:c>
    </x:row>
    <x:row r="20" ht="24" customHeight="1">
      <x:c r="A20" s="2"/>
      <x:c r="B20" s="2"/>
      <x:c r="C20" s="2" t="str">
        <x:v>BILL-25056</x:v>
      </x:c>
      <x:c r="D20" s="2" t="str">
        <x:v>Banksia Equipment</x:v>
      </x:c>
      <x:c r="E20" s="21" t="n">
        <x:v>4000</x:v>
      </x:c>
      <x:c r="F20" s="35" t="n">
        <x:v>45848</x:v>
      </x:c>
      <x:c r="G20" s="2" t="str">
        <x:v>FY25-CO-AP</x:v>
      </x:c>
    </x:row>
    <x:row r="21" ht="24" customHeight="1">
      <x:c r="A21" s="2"/>
      <x:c r="B21" s="2"/>
      <x:c r="C21" s="2" t="str">
        <x:v>BILL-25067</x:v>
      </x:c>
      <x:c r="D21" s="2" t="str">
        <x:v>Mallee Services</x:v>
      </x:c>
      <x:c r="E21" s="21" t="n">
        <x:v>3000</x:v>
      </x:c>
      <x:c r="F21" s="35" t="n">
        <x:v>45858</x:v>
      </x:c>
      <x:c r="G21" s="2" t="str">
        <x:v>FY25-CO-AP</x:v>
      </x:c>
    </x:row>
    <x:row r="22" ht="24" customHeight="1">
      <x:c r="A22" s="2"/>
      <x:c r="B22" s="2"/>
      <x:c r="C22" s="2"/>
      <x:c r="D22" s="2"/>
      <x:c r="E22" s="21"/>
      <x:c r="F22" s="2"/>
      <x:c r="G22" s="2"/>
    </x:row>
    <x:row r="23" ht="24" customHeight="1">
      <x:c r="A23" s="2"/>
      <x:c r="B23" s="2"/>
      <x:c r="C23" s="25" t="str">
        <x:v>Payables detail total</x:v>
      </x:c>
      <x:c r="D23" s="25"/>
      <x:c r="E23" s="28" t="n">
        <x:f>SUM(E19:E21)</x:f>
        <x:v>12000</x:v>
      </x:c>
      <x:c r="F23" s="2"/>
      <x:c r="G23" s="2"/>
    </x:row>
    <x:row r="24" ht="24" customHeight="1">
      <x:c r="A24" s="2"/>
      <x:c r="B24" s="2"/>
      <x:c r="C24" s="25" t="str">
        <x:v>Difference to control balance</x:v>
      </x:c>
      <x:c r="D24" s="25"/>
      <x:c r="E24" s="37" t="n">
        <x:f>E23-INDEX('Data'!$G$7:$G$11,MATCH("CO-AP",'Data'!$A$7:$A$11,0))</x:f>
        <x:v>0</x:v>
      </x:c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30" customHeight="1">
      <x:c r="A28" s="2"/>
      <x:c r="B28" s="2"/>
      <x:c r="C28" s="31" t="str">
        <x:v>Outstanding amounts are synthetic closing balances. GST and recoverability conclusions are outside this sample.</x:v>
      </x:c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23" hidden="0" customWidth="1"/>
    <x:col min="5" max="5" width="25" hidden="0" customWidth="1"/>
    <x:col min="6" max="6" width="24" hidden="0" customWidth="1"/>
    <x:col min="7" max="7" width="4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Assets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Services Pty Ltd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55" customHeight="1">
      <x:c r="A6" s="2"/>
      <x:c r="B6" s="2"/>
      <x:c r="C6" s="12" t="str">
        <x:v>Asset group</x:v>
      </x:c>
      <x:c r="D6" s="12" t="str">
        <x:v>Cost AUD</x:v>
      </x:c>
      <x:c r="E6" s="12" t="str">
        <x:v>Accumulated book depreciation AUD</x:v>
      </x:c>
      <x:c r="F6" s="12" t="str">
        <x:v>Carrying amount AUD</x:v>
      </x:c>
      <x:c r="G6" s="12" t="str">
        <x:v>Evidence reference</x:v>
      </x:c>
    </x:row>
    <x:row r="7" ht="24" customHeight="1">
      <x:c r="A7" s="2"/>
      <x:c r="B7" s="2"/>
      <x:c r="C7" s="2" t="str">
        <x:v>Computer equipment</x:v>
      </x:c>
      <x:c r="D7" s="21" t="n">
        <x:v>18000</x:v>
      </x:c>
      <x:c r="E7" s="21" t="n">
        <x:v>6000</x:v>
      </x:c>
      <x:c r="F7" s="32" t="n">
        <x:f>D7-E7</x:f>
        <x:v>12000</x:v>
      </x:c>
      <x:c r="G7" s="2" t="str">
        <x:v>FY25-CO-ASSET</x:v>
      </x:c>
    </x:row>
    <x:row r="8" ht="24" customHeight="1">
      <x:c r="A8" s="2"/>
      <x:c r="B8" s="2"/>
      <x:c r="C8" s="2" t="str">
        <x:v>Office equipment</x:v>
      </x:c>
      <x:c r="D8" s="21" t="n">
        <x:v>25000</x:v>
      </x:c>
      <x:c r="E8" s="21" t="n">
        <x:v>7000</x:v>
      </x:c>
      <x:c r="F8" s="32" t="n">
        <x:f>D8-E8</x:f>
        <x:v>18000</x:v>
      </x:c>
      <x:c r="G8" s="2" t="str">
        <x:v>FY25-CO-ASSET</x:v>
      </x:c>
    </x:row>
    <x:row r="9" ht="24" customHeight="1">
      <x:c r="A9" s="2"/>
      <x:c r="B9" s="2"/>
      <x:c r="C9" s="2"/>
      <x:c r="D9" s="21"/>
      <x:c r="E9" s="21"/>
      <x:c r="F9" s="21"/>
      <x:c r="G9" s="2"/>
    </x:row>
    <x:row r="10" ht="24" customHeight="1">
      <x:c r="A10" s="2"/>
      <x:c r="B10" s="2"/>
      <x:c r="C10" s="25" t="str">
        <x:v>Register totals</x:v>
      </x:c>
      <x:c r="D10" s="28" t="n">
        <x:f>SUM(D7:D8)</x:f>
        <x:v>43000</x:v>
      </x:c>
      <x:c r="E10" s="28" t="n">
        <x:f>SUM(E7:E8)</x:f>
        <x:v>13000</x:v>
      </x:c>
      <x:c r="F10" s="28" t="n">
        <x:f>SUM(F7:F8)</x:f>
        <x:v>30000</x:v>
      </x:c>
      <x:c r="G10" s="2"/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5" t="str">
        <x:v>Difference to carrying amount</x:v>
      </x:c>
      <x:c r="D13" s="25"/>
      <x:c r="E13" s="25"/>
      <x:c r="F13" s="37" t="n">
        <x:f>F10-INDEX('Data'!$G$7:$G$11,MATCH("CO-ASSET",'Data'!$A$7:$A$11,0))</x:f>
        <x:v>0</x:v>
      </x:c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6" customHeight="1">
      <x:c r="A17" s="2"/>
      <x:c r="B17" s="2"/>
      <x:c r="C17" s="10" t="str">
        <x:v>Book basis</x:v>
      </x:c>
      <x:c r="D17" s="10"/>
      <x:c r="E17" s="10"/>
      <x:c r="F17" s="10"/>
      <x:c r="G17" s="10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30" customHeight="1">
      <x:c r="A19" s="2"/>
      <x:c r="B19" s="2"/>
      <x:c r="C19" s="31" t="str">
        <x:v>Accumulated depreciation is a supplied synthetic book balance. No useful life or tax deduction is inferred.</x:v>
      </x:c>
      <x:c r="D19" s="2"/>
      <x:c r="E19" s="2"/>
      <x:c r="F19" s="2"/>
      <x:c r="G19" s="2"/>
    </x:row>
    <x:row r="20" ht="30" customHeight="1">
      <x:c r="A20" s="2"/>
      <x:c r="B20" s="2"/>
      <x:c r="C20" s="31" t="str">
        <x:v>Obtain acquisition, disposal and depreciation records for the current year.</x:v>
      </x:c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0" hidden="0" customWidth="1"/>
    <x:col min="5" max="5" width="25" hidden="0" customWidth="1"/>
    <x:col min="6" max="6" width="28" hidden="0" customWidth="1"/>
    <x:col min="7" max="7" width="3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Related Parties</x:v>
      </x:c>
      <x:c r="D2" s="4"/>
      <x:c r="E2" s="4"/>
      <x:c r="F2" s="4"/>
      <x:c r="G2" s="4"/>
    </x:row>
    <x:row r="3" ht="24" customHeight="1">
      <x:c r="A3" s="2"/>
      <x:c r="B3" s="2"/>
      <x:c r="C3" s="5" t="str">
        <x:v>Taylor Services Pty Ltd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Shareholder loan movement</x:v>
      </x:c>
      <x:c r="D6" s="12" t="str">
        <x:v>Direction</x:v>
      </x:c>
      <x:c r="E6" s="12" t="str">
        <x:v>Amount AUD</x:v>
      </x:c>
      <x:c r="F6" s="12" t="str">
        <x:v>Evidence reference</x:v>
      </x:c>
      <x:c r="G6" s="12" t="str">
        <x:v>Context</x:v>
      </x:c>
    </x:row>
    <x:row r="7" ht="40" customHeight="1">
      <x:c r="A7" s="2"/>
      <x:c r="B7" s="2"/>
      <x:c r="C7" s="8" t="str">
        <x:v>Opening payable</x:v>
      </x:c>
      <x:c r="D7" s="8" t="str">
        <x:v>Liability</x:v>
      </x:c>
      <x:c r="E7" s="14" t="n">
        <x:v>15000</x:v>
      </x:c>
      <x:c r="F7" s="8" t="str">
        <x:v>FY25-CO-LOAN</x:v>
      </x:c>
      <x:c r="G7" s="8" t="str">
        <x:v>Fictional Shareholder A</x:v>
      </x:c>
    </x:row>
    <x:row r="8" ht="40" customHeight="1">
      <x:c r="A8" s="2"/>
      <x:c r="B8" s="2"/>
      <x:c r="C8" s="8" t="str">
        <x:v>Advances received</x:v>
      </x:c>
      <x:c r="D8" s="8" t="str">
        <x:v>Increase payable</x:v>
      </x:c>
      <x:c r="E8" s="14" t="n">
        <x:v>8000</x:v>
      </x:c>
      <x:c r="F8" s="8" t="str">
        <x:v>FY25-CO-LOAN</x:v>
      </x:c>
      <x:c r="G8" s="8" t="str">
        <x:v>Synthetic cash advances</x:v>
      </x:c>
    </x:row>
    <x:row r="9" ht="40" customHeight="1">
      <x:c r="A9" s="2"/>
      <x:c r="B9" s="2"/>
      <x:c r="C9" s="8" t="str">
        <x:v>Repayments made</x:v>
      </x:c>
      <x:c r="D9" s="8" t="str">
        <x:v>Decrease payable</x:v>
      </x:c>
      <x:c r="E9" s="14" t="n">
        <x:v>-3000</x:v>
      </x:c>
      <x:c r="F9" s="8" t="str">
        <x:v>FY25-CO-LOAN</x:v>
      </x:c>
      <x:c r="G9" s="8" t="str">
        <x:v>Synthetic repayments</x:v>
      </x:c>
    </x:row>
    <x:row r="10" ht="24" customHeight="1">
      <x:c r="A10" s="2"/>
      <x:c r="B10" s="2"/>
      <x:c r="C10" s="2"/>
      <x:c r="D10" s="2"/>
      <x:c r="E10" s="21"/>
      <x:c r="F10" s="2"/>
      <x:c r="G10" s="2"/>
    </x:row>
    <x:row r="11" ht="24" customHeight="1">
      <x:c r="A11" s="2"/>
      <x:c r="B11" s="2"/>
      <x:c r="C11" s="25" t="str">
        <x:v>Closing payable</x:v>
      </x:c>
      <x:c r="D11" s="25"/>
      <x:c r="E11" s="28" t="n">
        <x:f>SUM(E7:E9)</x:f>
        <x:v>20000</x:v>
      </x:c>
      <x:c r="F11" s="2"/>
      <x:c r="G11" s="2"/>
    </x:row>
    <x:row r="12" ht="24" customHeight="1">
      <x:c r="A12" s="2"/>
      <x:c r="B12" s="2"/>
      <x:c r="C12" s="2"/>
      <x:c r="D12" s="2"/>
      <x:c r="E12" s="21"/>
      <x:c r="F12" s="2"/>
      <x:c r="G12" s="2"/>
    </x:row>
    <x:row r="13" ht="24" customHeight="1">
      <x:c r="A13" s="2"/>
      <x:c r="B13" s="2"/>
      <x:c r="C13" s="2"/>
      <x:c r="D13" s="2"/>
      <x:c r="E13" s="21"/>
      <x:c r="F13" s="2"/>
      <x:c r="G13" s="2"/>
    </x:row>
    <x:row r="14" ht="24" customHeight="1">
      <x:c r="A14" s="2"/>
      <x:c r="B14" s="2"/>
      <x:c r="C14" s="25" t="str">
        <x:v>Difference to control balance</x:v>
      </x:c>
      <x:c r="D14" s="25"/>
      <x:c r="E14" s="37" t="n">
        <x:f>E11-INDEX('Data'!$G$7:$G$11,MATCH("CO-LOAN",'Data'!$A$7:$A$11,0))</x:f>
        <x:v>0</x:v>
      </x:c>
      <x:c r="F14" s="2"/>
      <x:c r="G14" s="2"/>
    </x:row>
    <x:row r="15" ht="24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6" customHeight="1">
      <x:c r="A18" s="2"/>
      <x:c r="B18" s="2"/>
      <x:c r="C18" s="10" t="str">
        <x:v>Adviser matters</x:v>
      </x:c>
      <x:c r="D18" s="10"/>
      <x:c r="E18" s="10"/>
      <x:c r="F18" s="10"/>
      <x:c r="G18" s="10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30" customHeight="1">
      <x:c r="A20" s="2"/>
      <x:c r="B20" s="2"/>
      <x:c r="C20" s="31" t="str">
        <x:v>Confirm lender identity, loan terms and the direction of each related-party balance.</x:v>
      </x:c>
      <x:c r="D20" s="2"/>
      <x:c r="E20" s="2"/>
      <x:c r="F20" s="2"/>
      <x:c r="G20" s="2"/>
    </x:row>
    <x:row r="21" ht="30" customHeight="1">
      <x:c r="A21" s="2"/>
      <x:c r="B21" s="2"/>
      <x:c r="C21" s="31" t="str">
        <x:v>No company tax-return label or Division 7A conclusion is assigned in this fixture.</x:v>
      </x:c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7" hidden="0" customWidth="1"/>
    <x:col min="4" max="4" width="16" hidden="0" customWidth="1"/>
    <x:col min="5" max="5" width="24" hidden="0" customWidth="1"/>
    <x:col min="6" max="6" width="13" hidden="0" customWidth="1"/>
    <x:col min="7" max="7" width="23" hidden="0" customWidth="1"/>
    <x:col min="8" max="8" width="19" hidden="0" customWidth="1"/>
    <x:col min="9" max="9" width="91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4" t="str">
        <x:v>Synthetic evidence index</x:v>
      </x:c>
      <x:c r="B2" s="4"/>
      <x:c r="C2" s="4"/>
      <x:c r="D2" s="4"/>
      <x:c r="E2" s="4"/>
      <x:c r="F2" s="4"/>
      <x:c r="G2" s="4"/>
      <x:c r="H2" s="4"/>
      <x:c r="I2" s="4"/>
    </x:row>
    <x:row r="3" ht="32" customHeight="1">
      <x:c r="A3" s="5" t="str">
        <x:v>Taylor Services Pty Ltd · FY25 · Structured test records; no genuine issuer statements</x:v>
      </x:c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2" t="str">
        <x:v>document_id</x:v>
      </x:c>
      <x:c r="B6" s="12" t="str">
        <x:v>line_id</x:v>
      </x:c>
      <x:c r="C6" s="12" t="str">
        <x:v>entity_id</x:v>
      </x:c>
      <x:c r="D6" s="12" t="str">
        <x:v>financial_year</x:v>
      </x:c>
      <x:c r="E6" s="12" t="str">
        <x:v>component</x:v>
      </x:c>
      <x:c r="F6" s="12" t="str">
        <x:v>currency</x:v>
      </x:c>
      <x:c r="G6" s="12" t="str">
        <x:v>basis</x:v>
      </x:c>
      <x:c r="H6" s="12" t="str">
        <x:v>amount</x:v>
      </x:c>
      <x:c r="I6" s="12" t="str">
        <x:v>description</x:v>
      </x:c>
    </x:row>
    <x:row r="7" ht="72" customHeight="1">
      <x:c r="A7" s="8" t="str">
        <x:v>FY25-CO-BANK</x:v>
      </x:c>
      <x:c r="B7" s="8" t="str">
        <x:v>CO-BANK</x:v>
      </x:c>
      <x:c r="C7" s="8" t="str">
        <x:v>taylor-services</x:v>
      </x:c>
      <x:c r="D7" s="15" t="n">
        <x:v>2025</x:v>
      </x:c>
      <x:c r="E7" s="8" t="str">
        <x:v>closing_balance</x:v>
      </x:c>
      <x:c r="F7" s="8" t="str">
        <x:v>AUD</x:v>
      </x:c>
      <x:c r="G7" s="8" t="str">
        <x:v>closing_balance</x:v>
      </x:c>
      <x:c r="H7" s="14" t="n">
        <x:v>38000</x:v>
      </x:c>
      <x:c r="I7" s="8" t="str">
        <x:v>Synthetic reconciliation: statement balance 40000 plus deposit 1000 less outstanding payments 3000 equals book balance 38000.</x:v>
      </x:c>
    </x:row>
    <x:row r="8" ht="72" customHeight="1">
      <x:c r="A8" s="8" t="str">
        <x:v>FY25-CO-AR</x:v>
      </x:c>
      <x:c r="B8" s="8" t="str">
        <x:v>CO-AR</x:v>
      </x:c>
      <x:c r="C8" s="8" t="str">
        <x:v>taylor-services</x:v>
      </x:c>
      <x:c r="D8" s="15" t="n">
        <x:v>2025</x:v>
      </x:c>
      <x:c r="E8" s="8" t="str">
        <x:v>closing_balance</x:v>
      </x:c>
      <x:c r="F8" s="8" t="str">
        <x:v>AUD</x:v>
      </x:c>
      <x:c r="G8" s="8" t="str">
        <x:v>closing_balance</x:v>
      </x:c>
      <x:c r="H8" s="14" t="n">
        <x:v>24000</x:v>
      </x:c>
      <x:c r="I8" s="8" t="str">
        <x:v>Synthetic aged-receivables control: three fictional open invoices of 9000, 8000 and 7000. Total 24000.</x:v>
      </x:c>
    </x:row>
    <x:row r="9" ht="72" customHeight="1">
      <x:c r="A9" s="8" t="str">
        <x:v>FY25-CO-AP</x:v>
      </x:c>
      <x:c r="B9" s="8" t="str">
        <x:v>CO-AP</x:v>
      </x:c>
      <x:c r="C9" s="8" t="str">
        <x:v>taylor-services</x:v>
      </x:c>
      <x:c r="D9" s="15" t="n">
        <x:v>2025</x:v>
      </x:c>
      <x:c r="E9" s="8" t="str">
        <x:v>closing_balance</x:v>
      </x:c>
      <x:c r="F9" s="8" t="str">
        <x:v>AUD</x:v>
      </x:c>
      <x:c r="G9" s="8" t="str">
        <x:v>closing_balance</x:v>
      </x:c>
      <x:c r="H9" s="14" t="n">
        <x:v>12000</x:v>
      </x:c>
      <x:c r="I9" s="8" t="str">
        <x:v>Synthetic aged-payables control: three fictional unpaid bills of 5000, 4000 and 3000. Total 12000.</x:v>
      </x:c>
    </x:row>
    <x:row r="10" ht="72" customHeight="1">
      <x:c r="A10" s="8" t="str">
        <x:v>FY25-CO-ASSET</x:v>
      </x:c>
      <x:c r="B10" s="8" t="str">
        <x:v>CO-ASSET</x:v>
      </x:c>
      <x:c r="C10" s="8" t="str">
        <x:v>taylor-services</x:v>
      </x:c>
      <x:c r="D10" s="15" t="n">
        <x:v>2025</x:v>
      </x:c>
      <x:c r="E10" s="8" t="str">
        <x:v>closing_balance</x:v>
      </x:c>
      <x:c r="F10" s="8" t="str">
        <x:v>AUD</x:v>
      </x:c>
      <x:c r="G10" s="8" t="str">
        <x:v>closing_balance</x:v>
      </x:c>
      <x:c r="H10" s="14" t="n">
        <x:v>30000</x:v>
      </x:c>
      <x:c r="I10" s="8" t="str">
        <x:v>Synthetic equipment register: cost 43000 less accumulated book depreciation 13000 equals carrying amount 30000. No tax depreciation.</x:v>
      </x:c>
    </x:row>
    <x:row r="11" ht="72" customHeight="1">
      <x:c r="A11" s="8" t="str">
        <x:v>FY25-CO-LOAN</x:v>
      </x:c>
      <x:c r="B11" s="8" t="str">
        <x:v>CO-LOAN</x:v>
      </x:c>
      <x:c r="C11" s="8" t="str">
        <x:v>taylor-services</x:v>
      </x:c>
      <x:c r="D11" s="15" t="n">
        <x:v>2025</x:v>
      </x:c>
      <x:c r="E11" s="8" t="str">
        <x:v>closing_balance</x:v>
      </x:c>
      <x:c r="F11" s="8" t="str">
        <x:v>AUD</x:v>
      </x:c>
      <x:c r="G11" s="8" t="str">
        <x:v>closing_balance</x:v>
      </x:c>
      <x:c r="H11" s="14" t="n">
        <x:v>20000</x:v>
      </x:c>
      <x:c r="I11" s="8" t="str">
        <x:v>Synthetic loan ledger: opening payable 15000 plus advances 8000 less repayments 3000 equals closing payable 20000. Terms unassessed.</x:v>
      </x:c>
    </x:row>
    <x:row r="12" ht="3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2" customHeight="1">
      <x:c r="A14" s="2" t="str">
        <x:v>One document may support separate components. Match line, entity, period, component, currency and basis before comparing.</x:v>
      </x:c>
      <x:c r="B14" s="2"/>
      <x:c r="C14" s="2"/>
      <x:c r="D14" s="2"/>
      <x:c r="E14" s="2"/>
      <x:c r="F14" s="2"/>
      <x:c r="G14" s="2"/>
      <x:c r="H14" s="2"/>
      <x:c r="I14" s="2"/>
    </x:row>
    <x:row r="15" ht="3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32" customHeight="1">
      <x:c r="A16" s="2"/>
      <x:c r="B16" s="2"/>
      <x:c r="C16" s="2"/>
      <x:c r="D16" s="2"/>
      <x:c r="E16" s="2"/>
      <x:c r="F16" s="2"/>
      <x:c r="G16" s="2"/>
      <x:c r="H16" s="2"/>
      <x:c r="I16" s="2"/>
    </x:row>
  </x:sheetData>
  <x:pageMargins left="0.7" right="0.7" top="0.75" bottom="0.75" header="0.3" footer="0.3"/>
  <x:tableParts count="1">
    <x:tablePart xmlns:r="http://schemas.openxmlformats.org/officeDocument/2006/relationships" r:id="R4a4acb332e6f489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22" hidden="0" customWidth="1"/>
    <x:col min="5" max="5" width="39" hidden="0" customWidth="1"/>
    <x:col min="6" max="6" width="24" hidden="0" customWidth="1"/>
    <x:col min="7" max="7" width="17" hidden="0" customWidth="1"/>
    <x:col min="8" max="8" width="13" hidden="0" customWidth="1"/>
    <x:col min="9" max="9" width="23" hidden="0" customWidth="1"/>
    <x:col min="10" max="10" width="24" hidden="0" customWidth="1"/>
    <x:col min="11" max="11" width="16" hidden="0" customWidth="1"/>
    <x:col min="12" max="12" width="75" hidden="0" customWidth="1"/>
  </x:cols>
  <x:sheetData>
    <x:row r="1" ht="4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4" t="str">
        <x:v>FY25 import lines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42" customHeight="1">
      <x:c r="A3" s="5" t="str">
        <x:v>Taylor Services Pty Ltd · Synthetic · Named table Peregrine_Lines · Numeric amounts only; no formulas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2" t="str">
        <x:v>line_id</x:v>
      </x:c>
      <x:c r="B6" s="12" t="str">
        <x:v>entity_id</x:v>
      </x:c>
      <x:c r="C6" s="12" t="str">
        <x:v>financial_year</x:v>
      </x:c>
      <x:c r="D6" s="12" t="str">
        <x:v>category</x:v>
      </x:c>
      <x:c r="E6" s="12" t="str">
        <x:v>label</x:v>
      </x:c>
      <x:c r="F6" s="12" t="str">
        <x:v>component</x:v>
      </x:c>
      <x:c r="G6" s="12" t="str">
        <x:v>amount</x:v>
      </x:c>
      <x:c r="H6" s="12" t="str">
        <x:v>currency</x:v>
      </x:c>
      <x:c r="I6" s="12" t="str">
        <x:v>basis</x:v>
      </x:c>
      <x:c r="J6" s="12" t="str">
        <x:v>source_ref</x:v>
      </x:c>
      <x:c r="K6" s="12" t="str">
        <x:v>recurrence</x:v>
      </x:c>
      <x:c r="L6" s="12" t="str">
        <x:v>request_text</x:v>
      </x:c>
    </x:row>
    <x:row r="7" ht="64" customHeight="1">
      <x:c r="A7" s="8" t="str">
        <x:v>CO-BANK</x:v>
      </x:c>
      <x:c r="B7" s="8" t="str">
        <x:v>taylor-services</x:v>
      </x:c>
      <x:c r="C7" s="15" t="n">
        <x:v>2025</x:v>
      </x:c>
      <x:c r="D7" s="8" t="str">
        <x:v>bank</x:v>
      </x:c>
      <x:c r="E7" s="8" t="str">
        <x:v>Reconciled bank balance</x:v>
      </x:c>
      <x:c r="F7" s="8" t="str">
        <x:v>closing_balance</x:v>
      </x:c>
      <x:c r="G7" s="14" t="n">
        <x:v>38000</x:v>
      </x:c>
      <x:c r="H7" s="8" t="str">
        <x:v>AUD</x:v>
      </x:c>
      <x:c r="I7" s="8" t="str">
        <x:v>closing_balance</x:v>
      </x:c>
      <x:c r="J7" s="8" t="str">
        <x:v>FY25-CO-BANK</x:v>
      </x:c>
      <x:c r="K7" s="8" t="str">
        <x:v>annual</x:v>
      </x:c>
      <x:c r="L7" s="8" t="str">
        <x:v>Provide the 30 June bank statement and reconciliation for the current year.</x:v>
      </x:c>
    </x:row>
    <x:row r="8" ht="64" customHeight="1">
      <x:c r="A8" s="8" t="str">
        <x:v>CO-AR</x:v>
      </x:c>
      <x:c r="B8" s="8" t="str">
        <x:v>taylor-services</x:v>
      </x:c>
      <x:c r="C8" s="15" t="n">
        <x:v>2025</x:v>
      </x:c>
      <x:c r="D8" s="8" t="str">
        <x:v>receivables</x:v>
      </x:c>
      <x:c r="E8" s="8" t="str">
        <x:v>Trade receivables</x:v>
      </x:c>
      <x:c r="F8" s="8" t="str">
        <x:v>closing_balance</x:v>
      </x:c>
      <x:c r="G8" s="14" t="n">
        <x:v>24000</x:v>
      </x:c>
      <x:c r="H8" s="8" t="str">
        <x:v>AUD</x:v>
      </x:c>
      <x:c r="I8" s="8" t="str">
        <x:v>closing_balance</x:v>
      </x:c>
      <x:c r="J8" s="8" t="str">
        <x:v>FY25-CO-AR</x:v>
      </x:c>
      <x:c r="K8" s="8" t="str">
        <x:v>annual</x:v>
      </x:c>
      <x:c r="L8" s="8" t="str">
        <x:v>Provide the current-year aged receivables listing and subsequent receipt details.</x:v>
      </x:c>
    </x:row>
    <x:row r="9" ht="64" customHeight="1">
      <x:c r="A9" s="8" t="str">
        <x:v>CO-AP</x:v>
      </x:c>
      <x:c r="B9" s="8" t="str">
        <x:v>taylor-services</x:v>
      </x:c>
      <x:c r="C9" s="15" t="n">
        <x:v>2025</x:v>
      </x:c>
      <x:c r="D9" s="8" t="str">
        <x:v>payables</x:v>
      </x:c>
      <x:c r="E9" s="8" t="str">
        <x:v>Trade payables</x:v>
      </x:c>
      <x:c r="F9" s="8" t="str">
        <x:v>closing_balance</x:v>
      </x:c>
      <x:c r="G9" s="14" t="n">
        <x:v>12000</x:v>
      </x:c>
      <x:c r="H9" s="8" t="str">
        <x:v>AUD</x:v>
      </x:c>
      <x:c r="I9" s="8" t="str">
        <x:v>closing_balance</x:v>
      </x:c>
      <x:c r="J9" s="8" t="str">
        <x:v>FY25-CO-AP</x:v>
      </x:c>
      <x:c r="K9" s="8" t="str">
        <x:v>annual</x:v>
      </x:c>
      <x:c r="L9" s="8" t="str">
        <x:v>Provide the current-year aged payables listing and material unpaid supplier invoices.</x:v>
      </x:c>
    </x:row>
    <x:row r="10" ht="64" customHeight="1">
      <x:c r="A10" s="8" t="str">
        <x:v>CO-ASSET</x:v>
      </x:c>
      <x:c r="B10" s="8" t="str">
        <x:v>taylor-services</x:v>
      </x:c>
      <x:c r="C10" s="15" t="n">
        <x:v>2025</x:v>
      </x:c>
      <x:c r="D10" s="8" t="str">
        <x:v>assets</x:v>
      </x:c>
      <x:c r="E10" s="8" t="str">
        <x:v>Equipment carrying amount</x:v>
      </x:c>
      <x:c r="F10" s="8" t="str">
        <x:v>closing_balance</x:v>
      </x:c>
      <x:c r="G10" s="14" t="n">
        <x:v>30000</x:v>
      </x:c>
      <x:c r="H10" s="8" t="str">
        <x:v>AUD</x:v>
      </x:c>
      <x:c r="I10" s="8" t="str">
        <x:v>closing_balance</x:v>
      </x:c>
      <x:c r="J10" s="8" t="str">
        <x:v>FY25-CO-ASSET</x:v>
      </x:c>
      <x:c r="K10" s="8" t="str">
        <x:v>annual</x:v>
      </x:c>
      <x:c r="L10" s="8" t="str">
        <x:v>Provide the current-year asset register and invoices for additions or disposals.</x:v>
      </x:c>
    </x:row>
    <x:row r="11" ht="64" customHeight="1">
      <x:c r="A11" s="8" t="str">
        <x:v>CO-LOAN</x:v>
      </x:c>
      <x:c r="B11" s="8" t="str">
        <x:v>taylor-services</x:v>
      </x:c>
      <x:c r="C11" s="15" t="n">
        <x:v>2025</x:v>
      </x:c>
      <x:c r="D11" s="8" t="str">
        <x:v>related_parties</x:v>
      </x:c>
      <x:c r="E11" s="8" t="str">
        <x:v>Shareholder loan payable</x:v>
      </x:c>
      <x:c r="F11" s="8" t="str">
        <x:v>closing_balance</x:v>
      </x:c>
      <x:c r="G11" s="14" t="n">
        <x:v>20000</x:v>
      </x:c>
      <x:c r="H11" s="8" t="str">
        <x:v>AUD</x:v>
      </x:c>
      <x:c r="I11" s="8" t="str">
        <x:v>closing_balance</x:v>
      </x:c>
      <x:c r="J11" s="8" t="str">
        <x:v>FY25-CO-LOAN</x:v>
      </x:c>
      <x:c r="K11" s="8" t="str">
        <x:v>annual</x:v>
      </x:c>
      <x:c r="L11" s="8" t="str">
        <x:v>Provide the current-year related-party loan ledger and supporting terms for adviser review.</x:v>
      </x:c>
    </x:row>
    <x:row r="12" ht="4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</x:sheetData>
  <x:pageMargins left="0.7" right="0.7" top="0.75" bottom="0.75" header="0.3" footer="0.3"/>
  <x:tableParts count="1">
    <x:tablePart xmlns:r="http://schemas.openxmlformats.org/officeDocument/2006/relationships" r:id="Rfc7c5800e273408e"/>
  </x:tableParts>
</x:worksheet>
</file>